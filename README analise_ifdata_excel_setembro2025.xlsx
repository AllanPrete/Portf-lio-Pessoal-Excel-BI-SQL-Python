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lanzin\Desktop\ESTUDOS\PORTIFOLIO\"/>
    </mc:Choice>
  </mc:AlternateContent>
  <xr:revisionPtr revIDLastSave="0" documentId="13_ncr:1_{A63AA41B-D539-444E-891B-E0E69D6D9DFD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Leia Primeiro" sheetId="1" r:id="rId1"/>
    <sheet name="Dicionário" sheetId="3" r:id="rId2"/>
    <sheet name="Base_IFdata" sheetId="2" r:id="rId3"/>
    <sheet name="Exemplos_Graficos" sheetId="4" r:id="rId4"/>
    <sheet name="Exerc_Graficos" sheetId="5" state="hidden" r:id="rId5"/>
    <sheet name="Exerc." sheetId="6" r:id="rId6"/>
    <sheet name="Exerc_Intermediário" sheetId="7" state="hidden" r:id="rId7"/>
    <sheet name="Template_Análise" sheetId="8" r:id="rId8"/>
  </sheets>
  <definedNames>
    <definedName name="_xlnm._FilterDatabase" localSheetId="2" hidden="1">Base_IFdata!$A$4:$U$104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4" i="2" l="1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N122" i="2"/>
  <c r="D21" i="6" s="1"/>
  <c r="N121" i="2"/>
  <c r="D20" i="6" s="1"/>
  <c r="I120" i="2"/>
  <c r="D19" i="6" s="1"/>
  <c r="H119" i="2"/>
  <c r="D18" i="6" s="1"/>
  <c r="D118" i="2"/>
  <c r="E117" i="2"/>
  <c r="H109" i="2" l="1"/>
  <c r="H106" i="2"/>
  <c r="O116" i="2"/>
  <c r="O115" i="2"/>
  <c r="O114" i="2"/>
  <c r="D12" i="6" s="1"/>
  <c r="M113" i="2"/>
  <c r="D11" i="6" s="1"/>
  <c r="I112" i="2"/>
  <c r="I110" i="2"/>
  <c r="I111" i="2"/>
  <c r="H108" i="2"/>
  <c r="H107" i="2"/>
  <c r="B29" i="5"/>
  <c r="C28" i="5"/>
  <c r="C27" i="5"/>
  <c r="C29" i="5" s="1"/>
  <c r="C26" i="5"/>
  <c r="D35" i="4"/>
  <c r="C35" i="4"/>
  <c r="B35" i="4"/>
  <c r="T104" i="2"/>
  <c r="S104" i="2"/>
  <c r="T103" i="2"/>
  <c r="S103" i="2"/>
  <c r="T102" i="2"/>
  <c r="S102" i="2"/>
  <c r="T101" i="2"/>
  <c r="S101" i="2"/>
  <c r="T100" i="2"/>
  <c r="S100" i="2"/>
  <c r="T99" i="2"/>
  <c r="S99" i="2"/>
  <c r="T98" i="2"/>
  <c r="S98" i="2"/>
  <c r="T97" i="2"/>
  <c r="S97" i="2"/>
  <c r="T96" i="2"/>
  <c r="S96" i="2"/>
  <c r="T95" i="2"/>
  <c r="S95" i="2"/>
  <c r="T94" i="2"/>
  <c r="S94" i="2"/>
  <c r="T93" i="2"/>
  <c r="S93" i="2"/>
  <c r="T92" i="2"/>
  <c r="S92" i="2"/>
  <c r="T91" i="2"/>
  <c r="S91" i="2"/>
  <c r="T90" i="2"/>
  <c r="S90" i="2"/>
  <c r="T89" i="2"/>
  <c r="S89" i="2"/>
  <c r="T88" i="2"/>
  <c r="S88" i="2"/>
  <c r="T87" i="2"/>
  <c r="S87" i="2"/>
  <c r="T86" i="2"/>
  <c r="S86" i="2"/>
  <c r="T85" i="2"/>
  <c r="S85" i="2"/>
  <c r="T84" i="2"/>
  <c r="S84" i="2"/>
  <c r="T83" i="2"/>
  <c r="S83" i="2"/>
  <c r="T82" i="2"/>
  <c r="S82" i="2"/>
  <c r="T81" i="2"/>
  <c r="S81" i="2"/>
  <c r="T80" i="2"/>
  <c r="S80" i="2"/>
  <c r="T79" i="2"/>
  <c r="S79" i="2"/>
  <c r="T78" i="2"/>
  <c r="S78" i="2"/>
  <c r="T77" i="2"/>
  <c r="S77" i="2"/>
  <c r="T76" i="2"/>
  <c r="S76" i="2"/>
  <c r="T75" i="2"/>
  <c r="S75" i="2"/>
  <c r="T74" i="2"/>
  <c r="S74" i="2"/>
  <c r="T73" i="2"/>
  <c r="S73" i="2"/>
  <c r="T72" i="2"/>
  <c r="S72" i="2"/>
  <c r="T71" i="2"/>
  <c r="S71" i="2"/>
  <c r="T70" i="2"/>
  <c r="S70" i="2"/>
  <c r="T69" i="2"/>
  <c r="S69" i="2"/>
  <c r="T68" i="2"/>
  <c r="S68" i="2"/>
  <c r="T67" i="2"/>
  <c r="S67" i="2"/>
  <c r="T66" i="2"/>
  <c r="S66" i="2"/>
  <c r="T65" i="2"/>
  <c r="S65" i="2"/>
  <c r="T64" i="2"/>
  <c r="S64" i="2"/>
  <c r="T63" i="2"/>
  <c r="S63" i="2"/>
  <c r="T62" i="2"/>
  <c r="S62" i="2"/>
  <c r="T61" i="2"/>
  <c r="S61" i="2"/>
  <c r="T60" i="2"/>
  <c r="S60" i="2"/>
  <c r="T59" i="2"/>
  <c r="S59" i="2"/>
  <c r="T58" i="2"/>
  <c r="S58" i="2"/>
  <c r="T57" i="2"/>
  <c r="S57" i="2"/>
  <c r="T56" i="2"/>
  <c r="S56" i="2"/>
  <c r="T55" i="2"/>
  <c r="S55" i="2"/>
  <c r="T54" i="2"/>
  <c r="S54" i="2"/>
  <c r="T53" i="2"/>
  <c r="S53" i="2"/>
  <c r="T52" i="2"/>
  <c r="S52" i="2"/>
  <c r="T51" i="2"/>
  <c r="S51" i="2"/>
  <c r="T50" i="2"/>
  <c r="S50" i="2"/>
  <c r="T49" i="2"/>
  <c r="S49" i="2"/>
  <c r="T48" i="2"/>
  <c r="S48" i="2"/>
  <c r="T47" i="2"/>
  <c r="S47" i="2"/>
  <c r="T46" i="2"/>
  <c r="S46" i="2"/>
  <c r="T45" i="2"/>
  <c r="S45" i="2"/>
  <c r="T44" i="2"/>
  <c r="S44" i="2"/>
  <c r="T43" i="2"/>
  <c r="S43" i="2"/>
  <c r="T42" i="2"/>
  <c r="S42" i="2"/>
  <c r="T41" i="2"/>
  <c r="S41" i="2"/>
  <c r="T40" i="2"/>
  <c r="S40" i="2"/>
  <c r="T39" i="2"/>
  <c r="S39" i="2"/>
  <c r="T38" i="2"/>
  <c r="S38" i="2"/>
  <c r="T37" i="2"/>
  <c r="S37" i="2"/>
  <c r="T36" i="2"/>
  <c r="S36" i="2"/>
  <c r="T35" i="2"/>
  <c r="S35" i="2"/>
  <c r="T34" i="2"/>
  <c r="S34" i="2"/>
  <c r="T33" i="2"/>
  <c r="S33" i="2"/>
  <c r="T32" i="2"/>
  <c r="S32" i="2"/>
  <c r="T31" i="2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8" i="2"/>
  <c r="S8" i="2"/>
  <c r="T7" i="2"/>
  <c r="S7" i="2"/>
  <c r="T6" i="2"/>
  <c r="S6" i="2"/>
  <c r="T5" i="2"/>
  <c r="S5" i="2"/>
  <c r="U5" i="2" l="1" a="1"/>
  <c r="U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<sst xmlns="http://schemas.openxmlformats.org/spreadsheetml/2006/main" count="1396" uniqueCount="512">
  <si>
    <t>ANALISTA JÚNIOR COM IA  |  Material de Apoio – Módulo 3</t>
  </si>
  <si>
    <t>Sobre este arquivo</t>
  </si>
  <si>
    <t>Este arquivo foi criado especialmente para acompanhar o Módulo 3 do livro Analista Júnior com IA. Ele usa dados reais do IF.data, o portal oficial de dados do Banco Central do Brasil, com informações de setembro de 2025 sobre todas as instituições financeiras autorizadas a funcionar no país.</t>
  </si>
  <si>
    <t xml:space="preserve">  Como navegar pelo arquivo</t>
  </si>
  <si>
    <t>📋  Leia Primeiro</t>
  </si>
  <si>
    <t>Esta aba. Leia antes de começar.</t>
  </si>
  <si>
    <t>📊  Base_IFdata</t>
  </si>
  <si>
    <t>Base de dados real com as 100 maiores instituições financeiras do Brasil (IF.data, set/2025). Use para todos os exercícios.</t>
  </si>
  <si>
    <t>📖  Dicionário</t>
  </si>
  <si>
    <t>Explicação de cada coluna e código da base. Sempre consulte antes de analisar.</t>
  </si>
  <si>
    <t>🔢  Exerc_Básico</t>
  </si>
  <si>
    <t>Exercícios de fórmulas básicas com a base real. Nível: iniciante.</t>
  </si>
  <si>
    <t>📈  Exerc_Intermediário</t>
  </si>
  <si>
    <t>Análises mais complexas: MÉDIASE, SOMASES, classificação e tabela dinâmica.</t>
  </si>
  <si>
    <t>📝  Template_Análise</t>
  </si>
  <si>
    <t>Template para você construir sua análise final e apresentar os resultados.</t>
  </si>
  <si>
    <t xml:space="preserve">  Dicas de uso com Claude.ai</t>
  </si>
  <si>
    <t>1.</t>
  </si>
  <si>
    <t>Cole um trecho dos dados e peça: 'O que cada coluna significa para um analista financeiro?'</t>
  </si>
  <si>
    <t>2.</t>
  </si>
  <si>
    <t>Se travar em uma fórmula: 'Estou tentando calcular X com os dados Y. Qual fórmula usar no Excel?'</t>
  </si>
  <si>
    <t>3.</t>
  </si>
  <si>
    <t>Ao terminar a análise, cole seus insights e peça: 'Como eu comunicaria isso de forma clara para um gestor?'</t>
  </si>
  <si>
    <t>BASE DE DADOS – IF.DATA  |  Banco Central do Brasil  |  Setembro 2025  |  Valores em R$ mil</t>
  </si>
  <si>
    <t xml:space="preserve">  Fonte: https://www3.bcb.gov.br/ifdata  |  100 maiores instituições por Ativo Total  |  Dados reais do sistema financeiro brasileiro</t>
  </si>
  <si>
    <t>Instituição</t>
  </si>
  <si>
    <t>TCB</t>
  </si>
  <si>
    <t>Segmento
(SR)</t>
  </si>
  <si>
    <t>Controle
(TC)</t>
  </si>
  <si>
    <t>Cidade</t>
  </si>
  <si>
    <t>UF</t>
  </si>
  <si>
    <t>Ativo Total
(R$ mil)</t>
  </si>
  <si>
    <t>Carteira de
Crédito (R$ mil)</t>
  </si>
  <si>
    <t>TVM
(R$ mil)</t>
  </si>
  <si>
    <t>Passivo
(R$ mil)</t>
  </si>
  <si>
    <t>Captações
(R$ mil)</t>
  </si>
  <si>
    <t>Patrimônio
Líquido (R$ mil)</t>
  </si>
  <si>
    <t>Lucro
Líquido (R$ mil)</t>
  </si>
  <si>
    <t>Agências</t>
  </si>
  <si>
    <t>Postos</t>
  </si>
  <si>
    <t>Tipo Instituição</t>
  </si>
  <si>
    <t>Tipo Controle</t>
  </si>
  <si>
    <t>Índice Crédito/
Ativo (%)</t>
  </si>
  <si>
    <t>ROE (%)</t>
  </si>
  <si>
    <t>BANCO NACIONAL DE DESENVOLVIMENTO ECONOMICO E SOCI</t>
  </si>
  <si>
    <t>b4</t>
  </si>
  <si>
    <t>S2</t>
  </si>
  <si>
    <t>1</t>
  </si>
  <si>
    <t>RIO DE JANEIRO</t>
  </si>
  <si>
    <t>RJ</t>
  </si>
  <si>
    <t>Banco de Desenvolvimento</t>
  </si>
  <si>
    <t>Público</t>
  </si>
  <si>
    <t>BTG PACTUAL</t>
  </si>
  <si>
    <t>b1</t>
  </si>
  <si>
    <t>S1</t>
  </si>
  <si>
    <t>2</t>
  </si>
  <si>
    <t>Banco Comercial / Múltiplo c/ Carteira C</t>
  </si>
  <si>
    <t>Privado Nacional</t>
  </si>
  <si>
    <t>XP</t>
  </si>
  <si>
    <t>SAFRA</t>
  </si>
  <si>
    <t>SAO PAULO</t>
  </si>
  <si>
    <t>SP</t>
  </si>
  <si>
    <t>NUBANK</t>
  </si>
  <si>
    <t>n1</t>
  </si>
  <si>
    <t>3</t>
  </si>
  <si>
    <t>Não Bancário de Crédito</t>
  </si>
  <si>
    <t>Privado Estrangeiro</t>
  </si>
  <si>
    <t>BANCO COOPERATIVO SICREDI S.A.</t>
  </si>
  <si>
    <t>PORTO ALEGRE</t>
  </si>
  <si>
    <t>RS</t>
  </si>
  <si>
    <t>BANCO SICOOB</t>
  </si>
  <si>
    <t>BRASILIA</t>
  </si>
  <si>
    <t>DF</t>
  </si>
  <si>
    <t>CITIBANK</t>
  </si>
  <si>
    <t>BANRISUL</t>
  </si>
  <si>
    <t>VOTORANTIM</t>
  </si>
  <si>
    <t>REDECARD INSTITUIÇÃO DE PAGAMENTO S.A.</t>
  </si>
  <si>
    <t>n4</t>
  </si>
  <si>
    <t>Instituição de Pagamento</t>
  </si>
  <si>
    <t>C6 BANK</t>
  </si>
  <si>
    <t>S3</t>
  </si>
  <si>
    <t>CIELO S.A. - INSTITUIÇÃO DE PAGAMENTO</t>
  </si>
  <si>
    <t>NA</t>
  </si>
  <si>
    <t>BARUERI</t>
  </si>
  <si>
    <t>JP MORGAN CHASE</t>
  </si>
  <si>
    <t>NU PAGAMENTOS S.A. - INSTITUIÇÃO DE PAGAMENTO</t>
  </si>
  <si>
    <t>DAYCOVAL</t>
  </si>
  <si>
    <t>INTER</t>
  </si>
  <si>
    <t>BELO HORIZONTE</t>
  </si>
  <si>
    <t>MG</t>
  </si>
  <si>
    <t>MERCADO PAGO INSTITUIÇÃO DE PAGAMENTO LTDA.</t>
  </si>
  <si>
    <t>OSASCO</t>
  </si>
  <si>
    <t>BRB</t>
  </si>
  <si>
    <t>STONE INSTITUIÇÃO DE PAGAMENTO S.A.</t>
  </si>
  <si>
    <t>GETNET ADQUIRÊNCIA E SERVIÇOS PARA MEIOS DE PAGAME</t>
  </si>
  <si>
    <t>BANCO DO NORDESTE DO BRASIL S.A.</t>
  </si>
  <si>
    <t>FORTALEZA</t>
  </si>
  <si>
    <t>CE</t>
  </si>
  <si>
    <t>PAGSEGURO INTERNET INSTITUIÇÃO DE PAGAMENTO S.A.</t>
  </si>
  <si>
    <t>ABC-BRASIL</t>
  </si>
  <si>
    <t>BANCO DA AMAZONIA S.A.</t>
  </si>
  <si>
    <t>BELEM</t>
  </si>
  <si>
    <t>PA</t>
  </si>
  <si>
    <t>BANCO VOLKSWAGEN S.A.</t>
  </si>
  <si>
    <t>b2</t>
  </si>
  <si>
    <t>Banco Múltiplo s/ Cart. Comercial / Inve</t>
  </si>
  <si>
    <t>BANCO BNP PARIBAS BRASIL S.A.</t>
  </si>
  <si>
    <t>BANCO RABOBANK INTERNATIONAL BRASIL S.A.</t>
  </si>
  <si>
    <t>BMG</t>
  </si>
  <si>
    <t>PAGBANK-PAGSEGURO</t>
  </si>
  <si>
    <t>AGIBANK</t>
  </si>
  <si>
    <t>CAMPINAS</t>
  </si>
  <si>
    <t>BOFA MERRILL LYNCH</t>
  </si>
  <si>
    <t>BANESTES</t>
  </si>
  <si>
    <t>VITORIA</t>
  </si>
  <si>
    <t>ES</t>
  </si>
  <si>
    <t>PICPAY - FINANCEIRO</t>
  </si>
  <si>
    <t>GOLDMAN SACHS</t>
  </si>
  <si>
    <t>BANCO CLASSICO S.A.</t>
  </si>
  <si>
    <t>BANCO ORIGINAL S.A.</t>
  </si>
  <si>
    <t>MERCANTIL DO BRASIL</t>
  </si>
  <si>
    <t>COOPERATIVA CENTRAL DE CRÉDITO DE MINAS GERAIS LTD</t>
  </si>
  <si>
    <t>b3C</t>
  </si>
  <si>
    <t>Central de Cooperativas de Crédito</t>
  </si>
  <si>
    <t>PINE</t>
  </si>
  <si>
    <t>TERRA</t>
  </si>
  <si>
    <t>n2</t>
  </si>
  <si>
    <t>S4</t>
  </si>
  <si>
    <t>Não Bancário de Mercado de Capitais</t>
  </si>
  <si>
    <t>BOCOM</t>
  </si>
  <si>
    <t>SALVADOR</t>
  </si>
  <si>
    <t>BA</t>
  </si>
  <si>
    <t>BANCO REGIONAL DE DESENVOLVIMENTO DO EXTREMO SUL</t>
  </si>
  <si>
    <t>BANCO CNH INDUSTRIAL CAPITAL S.A.</t>
  </si>
  <si>
    <t>CURITIBA</t>
  </si>
  <si>
    <t>PR</t>
  </si>
  <si>
    <t>STONE SOCIEDADE DE CREDITO, FINANCIAMENTO E INVEST</t>
  </si>
  <si>
    <t>STELLANTIS</t>
  </si>
  <si>
    <t>CLOUDWALK INSTITUIÇÃO DE PAGAMENTO E SERVICOS LTDA</t>
  </si>
  <si>
    <t xml:space="preserve">CENTRAL DAS COOPERATIVAS DE ECONOMIA E CREDITO DO </t>
  </si>
  <si>
    <t>BANCO CSF S.A.</t>
  </si>
  <si>
    <t>COOPERATIVA CENTRAL DE CRÉDITO DE SANTA CATARINA E</t>
  </si>
  <si>
    <t>FLORIANOPOLIS</t>
  </si>
  <si>
    <t>SC</t>
  </si>
  <si>
    <t>CCB</t>
  </si>
  <si>
    <t>MORGAN STANLEY</t>
  </si>
  <si>
    <t>PORTO SEGURO</t>
  </si>
  <si>
    <t>MERCEDES-BENZ</t>
  </si>
  <si>
    <t>SAO BERNARDO DO CAMPO</t>
  </si>
  <si>
    <t>BANCO CRÉDIT AGRICOLE BRASIL S.A.</t>
  </si>
  <si>
    <t>BANCO DO ESTADO DO PARÁ S.A.</t>
  </si>
  <si>
    <t>COOPERATIVA CENTRAL DE CRÉDITO DO ESTADO DE SÃO PA</t>
  </si>
  <si>
    <t>RIBEIRAO PRETO</t>
  </si>
  <si>
    <t>UBS (BRASIL)</t>
  </si>
  <si>
    <t>COOPERATIVA DE CREDITO CREDICITRUS</t>
  </si>
  <si>
    <t>b3S</t>
  </si>
  <si>
    <t>BEBEDOURO</t>
  </si>
  <si>
    <t>Cooperativa de Crédito Singular</t>
  </si>
  <si>
    <t>BANCO FIBRA S.A.</t>
  </si>
  <si>
    <t>MERCADO CRÉDITO SOCIEDADE DE CRÉDITO, FINANCIAMENT</t>
  </si>
  <si>
    <t>BANCO VOLVO BRASIL S.A.</t>
  </si>
  <si>
    <t>BANCO JOHN DEERE S.A.</t>
  </si>
  <si>
    <t>BANCO GM S.A.</t>
  </si>
  <si>
    <t>SCANIA BANCO S.A.</t>
  </si>
  <si>
    <t>COOPERATIVA CENTRAL DE CRÉDITO COM INTERAÇÃO SOLID</t>
  </si>
  <si>
    <t>FRANCISCO BELTRAO</t>
  </si>
  <si>
    <t>BR PARTNERS BANCO DE INVESTIMENTO S.A.</t>
  </si>
  <si>
    <t>COOPERATIVA DE CREDITO VALE DO ITAJAI - VIACREDI</t>
  </si>
  <si>
    <t>BLUMENAU</t>
  </si>
  <si>
    <t>DEUTSCHE BANK S.A. - BANCO ALEMAO</t>
  </si>
  <si>
    <t>COOPERATIVA CENTRAL DE CRÉDITO UNICRED DO BRASIL -</t>
  </si>
  <si>
    <t>BANCO DE DESENVOLVIMENTO DE MINAS GERAIS S.A.-BDMG</t>
  </si>
  <si>
    <t>BANCO MIZUHO DO BRASIL S.A.</t>
  </si>
  <si>
    <t>BANCO HSBC S.A.</t>
  </si>
  <si>
    <t>BANCO MUFG BRASIL S.A.</t>
  </si>
  <si>
    <t>BANCO DE LAGE LANDEN BRASIL S.A.</t>
  </si>
  <si>
    <t>SICOOB COCRED COOPERATIVA DE CRÉDITO</t>
  </si>
  <si>
    <t>SERTAOZINHO</t>
  </si>
  <si>
    <t>COOPERATIVA DE CRÉDITO, POUPANÇA E INVESTIMENTO DE</t>
  </si>
  <si>
    <t>MARINGA</t>
  </si>
  <si>
    <t>SCOTIABANK</t>
  </si>
  <si>
    <t>COOPERATIVA CENTRAL DE CREDITO DO ESPIRITO SANTO -</t>
  </si>
  <si>
    <t>BANCO DO ESTADO DE SERGIPE S.A.</t>
  </si>
  <si>
    <t>ARACAJU</t>
  </si>
  <si>
    <t>SE</t>
  </si>
  <si>
    <t>COOPERATIVA CENTRAL DE CRÉDITO - AILOS</t>
  </si>
  <si>
    <t>COOPERATIVA DE CRÉDITO, POUPANÇA E INVESTIMENTO OU</t>
  </si>
  <si>
    <t>LUCAS DO RIO VERDE</t>
  </si>
  <si>
    <t>MT</t>
  </si>
  <si>
    <t>PARANÁ BANCO</t>
  </si>
  <si>
    <t>BANCO INBURSA S.A.</t>
  </si>
  <si>
    <t>COOPERATIVA DE CRÉDITO, POUPANÇA E INVESTIMENTO VA</t>
  </si>
  <si>
    <t>PALOTINA</t>
  </si>
  <si>
    <t>COOPERATIVA DE CRÉDITO CONEXÃO - SICOOB CONEXÃO</t>
  </si>
  <si>
    <t>S5</t>
  </si>
  <si>
    <t>LINHARES</t>
  </si>
  <si>
    <t>BANCO TOYOTA DO BRASIL S.A.</t>
  </si>
  <si>
    <t>COOPERATIVA DE CRÉDITO SICREDI SERRANA RS/ES</t>
  </si>
  <si>
    <t>CARLOS BARBOSA</t>
  </si>
  <si>
    <t>MEDIANEIRA</t>
  </si>
  <si>
    <t>COOPERATIVA CENTRAL DE CRÉDITO, POUPANÇA E INVESTI</t>
  </si>
  <si>
    <t>COOPERATIVA DE CRÉDITO, POUPANÇA E INVESTIMENTO CA</t>
  </si>
  <si>
    <t>PONTA GROSSA</t>
  </si>
  <si>
    <t>ASSOCIACAO DE POUPANCA E EMPRESTIMO - POUPEX</t>
  </si>
  <si>
    <t>COOPERATIVA DE CRÉDITO, POUPANÇA E INVESTIMENTO SI</t>
  </si>
  <si>
    <t>NOVA PETROPOLIS</t>
  </si>
  <si>
    <t>HONDA</t>
  </si>
  <si>
    <t>COOPERATIVA DE CRÉDITO DE LIVRE ADMISSÃO DE ASSOCI</t>
  </si>
  <si>
    <t>CHAPECO</t>
  </si>
  <si>
    <t>COOPERATIVA DE CRÉDITO DE LIVRE ADMISSÃO CENTRO BR</t>
  </si>
  <si>
    <t>GOIANIA</t>
  </si>
  <si>
    <t>GO</t>
  </si>
  <si>
    <t>SISPRIME DO BRASIL - COOPERATIVA DE CRÉDITO</t>
  </si>
  <si>
    <t>LONDRINA</t>
  </si>
  <si>
    <t>FACTA FINANCEIRA S.A. - CRÉDITO FINANCIAMENTO E IN</t>
  </si>
  <si>
    <t>SEM PARAR INSTITUICAO DE PAGAMENTO LTDA</t>
  </si>
  <si>
    <t>COOPERATIVA DE CRÉDITO, POUPANÇA E INVESTIMENTO UN</t>
  </si>
  <si>
    <t>SANTA ROSA</t>
  </si>
  <si>
    <t>DICIONÁRIO DE DADOS  |  IF.data – Banco Central do Brasil</t>
  </si>
  <si>
    <t xml:space="preserve">  Colunas da base de dados</t>
  </si>
  <si>
    <t>Coluna</t>
  </si>
  <si>
    <t>Nome completo</t>
  </si>
  <si>
    <t>Tipo</t>
  </si>
  <si>
    <t>O que significa na prática</t>
  </si>
  <si>
    <t>Nome da instituição financeira</t>
  </si>
  <si>
    <t>Texto</t>
  </si>
  <si>
    <t>Nome do banco, fintech, cooperativa ou instituição de pagamento cadastrada no Banco Central.</t>
  </si>
  <si>
    <t>Tipo de Consolidado Bancário</t>
  </si>
  <si>
    <t>Código</t>
  </si>
  <si>
    <t>Classifica o tipo de instituição. b1 = banco comercial/múltiplo com carteira comercial (os grandes bancos); n4 = instituição de pagamento (Nubank, PicPay, Mercado Pago); b3S = cooperativa singular.</t>
  </si>
  <si>
    <t>SR</t>
  </si>
  <si>
    <t>Segmento Resolução nº 4.553/2017</t>
  </si>
  <si>
    <t>Classifica o porte da instituição: S1 é o maior (Itaú, BB, Caixa, Bradesco, Santander), S5 é o menor. Define o nível de exigências regulatórias.</t>
  </si>
  <si>
    <t>TC</t>
  </si>
  <si>
    <t>Tipo de Controle</t>
  </si>
  <si>
    <t>1 = Público (BB, Caixa, BNB, BNDES); 2 = Privado Nacional (Itaú, Bradesco, Nubank); 3 = Privado com Controle Estrangeiro (Santander, Citibank, JP Morgan).</t>
  </si>
  <si>
    <t>TD</t>
  </si>
  <si>
    <t>Tipo de Consolidação</t>
  </si>
  <si>
    <t>C = Conglomerado (o grupo financeiro consolidado); I = Instituição independente (instituição individual sem grupo).</t>
  </si>
  <si>
    <t>Cidade / UF</t>
  </si>
  <si>
    <t>Localização da sede</t>
  </si>
  <si>
    <t>Cidade e estado onde a instituição tem sua sede principal registrada no Banco Central.</t>
  </si>
  <si>
    <t>Data</t>
  </si>
  <si>
    <t>Data de referência</t>
  </si>
  <si>
    <t>Mês e ano dos dados. 09/2025 = posição de setembro de 2025.</t>
  </si>
  <si>
    <t>Ativo Total</t>
  </si>
  <si>
    <t>Total de ativos (R$ mil)</t>
  </si>
  <si>
    <t>Número</t>
  </si>
  <si>
    <t>Tudo que a instituição possui: créditos concedidos, títulos, imóveis, participações. É o principal indicador de porte de um banco.</t>
  </si>
  <si>
    <t>Carteira de Crédito</t>
  </si>
  <si>
    <t>Total de créditos concedidos (R$ mil)</t>
  </si>
  <si>
    <t>Soma de todos os empréstimos, financiamentos e créditos concedidos pela instituição a clientes. É a atividade-fim dos bancos comerciais.</t>
  </si>
  <si>
    <t>TVM</t>
  </si>
  <si>
    <t>Títulos e Valores Mobiliários (R$ mil)</t>
  </si>
  <si>
    <t>Investimentos da instituição em títulos públicos (Tesouro), títulos privados, ações e outros ativos financeiros.</t>
  </si>
  <si>
    <t>Passivo Exigível</t>
  </si>
  <si>
    <t>Total de obrigações (R$ mil)</t>
  </si>
  <si>
    <t>Tudo que a instituição deve: depósitos de clientes, captações, dívidas. A diferença entre Ativo Total e Passivo Exigível é aproximadamente o Patrimônio Líquido.</t>
  </si>
  <si>
    <t>Captações</t>
  </si>
  <si>
    <t>Total captado de clientes (R$ mil)</t>
  </si>
  <si>
    <t>Recursos captados junto ao público: depósitos à vista, poupança, CDB, LCI, LCA. É a principal fonte de recursos dos bancos.</t>
  </si>
  <si>
    <t>Patrimônio Líquido</t>
  </si>
  <si>
    <t>Capital próprio da instituição (R$ mil)</t>
  </si>
  <si>
    <t>Diferença entre ativos e passivos. Representa o capital dos acionistas. Indica a solidez financeira da instituição.</t>
  </si>
  <si>
    <t>Lucro Líquido</t>
  </si>
  <si>
    <t>Resultado do período (R$ mil)</t>
  </si>
  <si>
    <t>Lucro ou prejuízo no período. Valores negativos indicam prejuízo. Dividido pelo Patrimônio Líquido, dá o ROE (retorno sobre patrimônio).</t>
  </si>
  <si>
    <t>Número de Agências</t>
  </si>
  <si>
    <t>Quantidade de agências físicas</t>
  </si>
  <si>
    <t>Agências físicas da instituição. Bancos digitais (Nubank, Inter, C6) têm zero ou poucas agências.</t>
  </si>
  <si>
    <t>Número de Postos</t>
  </si>
  <si>
    <t>Pontos de atendimento</t>
  </si>
  <si>
    <t>Postos de atendimento bancário além das agências, como PABs em empresas e postos em shoppings.</t>
  </si>
  <si>
    <t>Índice Crédito/Ativo</t>
  </si>
  <si>
    <t>Participação da carteira de crédito no ativo total</t>
  </si>
  <si>
    <t>Fórmula</t>
  </si>
  <si>
    <t>Calculado: Carteira de Crédito / Ativo Total. Indica quanto do ativo está alocado em crédito. Bancos de varejo têm índices altos; bancos de investimento têm índices baixos.</t>
  </si>
  <si>
    <t>ROE</t>
  </si>
  <si>
    <t>Retorno sobre Patrimônio Líquido</t>
  </si>
  <si>
    <t>Calculado: Lucro Líquido / Patrimônio Líquido. Mede a eficiência da instituição em gerar lucro com o capital próprio. Referência: ROE acima de 15% é considerado bom no setor.</t>
  </si>
  <si>
    <t xml:space="preserve">  Códigos de classificação (TCB, SR, TC)</t>
  </si>
  <si>
    <t>Categoria</t>
  </si>
  <si>
    <t>Descrição completa</t>
  </si>
  <si>
    <t>Exemplos</t>
  </si>
  <si>
    <t>Banco Comercial, Banco Múltiplo com Carteira Comercial ou Caixa Econômica</t>
  </si>
  <si>
    <t>Itaú, BB, Caixa, Bradesco, Santander, Nubank (banco)</t>
  </si>
  <si>
    <t>Banco Múltiplo sem Carteira Comercial, Banco de Investimento ou Câmbio</t>
  </si>
  <si>
    <t>Goldman Sachs, Banco Volkswagen, Stellantis</t>
  </si>
  <si>
    <t>Sicredi (cooperativas individuais), Sicoob singular</t>
  </si>
  <si>
    <t>Central e Confederação de Cooperativas de Crédito</t>
  </si>
  <si>
    <t>Sicoob Central, Sicredi Central</t>
  </si>
  <si>
    <t>BNDES, BNB, BRDE, Banco da Amazônia</t>
  </si>
  <si>
    <t>Não Bancário de Crédito (financeiras, SCDs)</t>
  </si>
  <si>
    <t>Porto Seguro Financeiro, Stone Financeiro</t>
  </si>
  <si>
    <t>Não Bancário de Mercado de Capitais (corretoras, DTVM)</t>
  </si>
  <si>
    <t>Corretoras de câmbio e valores</t>
  </si>
  <si>
    <t>Mercado Pago, PicPay, Cielo, Stone IP, PagSeguro</t>
  </si>
  <si>
    <t>Segmento 1 – Porte sistêmico (&gt; 10% do PIB ou atividade internacional)</t>
  </si>
  <si>
    <t>Itaú, BB, Caixa, Bradesco, Santander</t>
  </si>
  <si>
    <t>Segmento 2 – Porte grande (&gt; 1% do PIB)</t>
  </si>
  <si>
    <t>BNDES, BTG Pactual, XP, Safra, Nubank</t>
  </si>
  <si>
    <t>Segmento 3 – Porte médio</t>
  </si>
  <si>
    <t>Daycoval, Inter, BRB, BMG, ABC-Brasil</t>
  </si>
  <si>
    <t>Segmento 4 – Porte pequeno</t>
  </si>
  <si>
    <t>Bancos regionais pequenos, cooperativas médias</t>
  </si>
  <si>
    <t>Segmento 5 – Porte mínimo</t>
  </si>
  <si>
    <t>Cooperativas singulares, SCDs pequenas</t>
  </si>
  <si>
    <t>Controle Público</t>
  </si>
  <si>
    <t>BB, Caixa, BNB, BNDES, Banrisul, BRB, Banestes</t>
  </si>
  <si>
    <t>Controle Privado Nacional</t>
  </si>
  <si>
    <t>Itaú, Bradesco, BTG, XP, Nubank, Inter, C6 Bank</t>
  </si>
  <si>
    <t>Controle Privado Estrangeiro</t>
  </si>
  <si>
    <t>Santander (ES), Citibank (EUA), JP Morgan (EUA), BNP Paribas (FR)</t>
  </si>
  <si>
    <t>EXEMPLOS DE GRÁFICOS  |  Analista Júnior com IA — Módulo 3  |  IF.data Set/2025</t>
  </si>
  <si>
    <t xml:space="preserve">  Cada gráfico abaixo foi criado com dados reais do IF.data usando apenas fórmulas e dados desta planilha. Siga os passos e reproduza no Excel.</t>
  </si>
  <si>
    <t>GRÁFICO 1 — Barras Verticais: ROE Médio por Segmento (%)</t>
  </si>
  <si>
    <t>Como criar: Selecione os dados abaixo (A:B) → Inserir → Gráfico de Colunas → Formatar eixos e cores</t>
  </si>
  <si>
    <t>Segmento</t>
  </si>
  <si>
    <t>ROE Médio (%)</t>
  </si>
  <si>
    <t>Nº Instituições</t>
  </si>
  <si>
    <t>Ativo Total (R$ bi)</t>
  </si>
  <si>
    <t>GRÁFICO 2 — Pizza: Participação no Ativo Total por Tipo de Controle</t>
  </si>
  <si>
    <t>Como criar: Selecione Controle + Participação → Inserir → Gráfico de Pizza → Adicionar rótulos de dados</t>
  </si>
  <si>
    <t>Participação (%)</t>
  </si>
  <si>
    <t>TOTAL</t>
  </si>
  <si>
    <t>GRÁFICO 3 — Barras Horizontais: Top 10 Instituições por Ativo Total (R$ bi)</t>
  </si>
  <si>
    <t>Como criar: Selecione Instituição + Ativo → Inserir → Gráfico de Barras (horizontal) → Classificar do maior para o menor</t>
  </si>
  <si>
    <t>BANCO NACIONAL DE DESENVOLVIME</t>
  </si>
  <si>
    <t>Fonte: IF.data — Banco Central do Brasil — Setembro/2025 — Valores em R$ mil convertidos para R$ bilhões nos gráficos</t>
  </si>
  <si>
    <t>EXERCÍCIOS DE GRÁFICOS  |  Analista Júnior com IA — Módulo 3  |  IF.data Set/2025</t>
  </si>
  <si>
    <t xml:space="preserve">  Use os dados fornecidos em cada exercício para criar os gráficos indicados. Consulte a aba Exemplos_Graficos se precisar de referência.</t>
  </si>
  <si>
    <t>EXERCÍCIO 1 — Gráfico de Colunas: Ativo Total por Segmento</t>
  </si>
  <si>
    <t>📋 Tarefa: Com base nos dados abaixo, crie um gráfico de colunas mostrando o Ativo Total</t>
  </si>
  <si>
    <t xml:space="preserve">         médio (R$ bi) por segmento. Use cores diferentes para cada barra.</t>
  </si>
  <si>
    <t>💡 Dica: Selecione as colunas Segmento e Ativo Médio → Inserir → Gráfico de Colunas → 2D Agrupado</t>
  </si>
  <si>
    <t>❓ Pergunta de análise: Qual segmento tem maior ativo médio? O que isso revela sobre concentração?</t>
  </si>
  <si>
    <t>Ativo Médio (R$ bi)</t>
  </si>
  <si>
    <t>→ INSIRA SEU GRÁFICO AQUI (clique com botão direito → Mover Gráfico → Objeto na planilha → Exerc_Graficos)</t>
  </si>
  <si>
    <t>→ RESPOSTA: O segmento ___ tem maior ativo médio. Isso indica que _________________________</t>
  </si>
  <si>
    <t>EXERCÍCIO 2 — Gráfico de Pizza: Distribuição de Instituições por Tipo de Controle</t>
  </si>
  <si>
    <t>📋 Tarefa: Crie um gráfico de pizza mostrando a distribuição do NÚMERO de instituições</t>
  </si>
  <si>
    <t xml:space="preserve">         por tipo de controle. Inclua rótulos de dados com percentuais.</t>
  </si>
  <si>
    <t>💡 Dica: Selecione Tipo Controle + Nº Instituições → Inserir → Gráfico de Pizza</t>
  </si>
  <si>
    <t>⚠  Atenção: Quantidade de instituições é diferente de participação no ativo. Qual conta mais?</t>
  </si>
  <si>
    <t>❓ Pergunta de análise: Bancos privados são maioria em número. E em ativo total? Consulte Exemplos_Graficos.</t>
  </si>
  <si>
    <t>→ INSIRA SEU GRÁFICO AQUI</t>
  </si>
  <si>
    <t>→ RESPOSTA: Em número, a maioria é ___. Em ativo total (ver Exemplos_Graficos), a concentração é ___.</t>
  </si>
  <si>
    <t>EXERCÍCIO 3 — Gráfico de Dispersão: ROE vs Ativo Total (Top 30)</t>
  </si>
  <si>
    <t>📋 Tarefa: Com os dados das 30 maiores instituições, crie um gráfico de dispersão (XY)</t>
  </si>
  <si>
    <t xml:space="preserve">         onde X = Ativo Total (R$ bi) e Y = ROE (%). Interprete o padrão.</t>
  </si>
  <si>
    <t>💡 Dica: Selecione só as colunas Ativo e ROE (sem cabeçalho de texto) → Inserir → Dispersão → XY</t>
  </si>
  <si>
    <t>❓ Pergunta: Bancos maiores têm ROE maior? Existe correlação positiva, negativa ou nenhuma?</t>
  </si>
  <si>
    <t>⚠  Desafio: Identifique no gráfico o ponto que representa o maior banco. Que instituição é?</t>
  </si>
  <si>
    <t>REDECARD INSTITUIÇÃO DE PAGAME</t>
  </si>
  <si>
    <t>NU PAGAMENTOS S.A. - INSTITUIÇ</t>
  </si>
  <si>
    <t>MERCADO PAGO INSTITUIÇÃO DE PA</t>
  </si>
  <si>
    <t>STONE INSTITUIÇÃO DE PAGAMENTO</t>
  </si>
  <si>
    <t xml:space="preserve">GETNET ADQUIRÊNCIA E SERVIÇOS </t>
  </si>
  <si>
    <t>BANCO DO NORDESTE DO BRASIL S.</t>
  </si>
  <si>
    <t>PAGSEGURO INTERNET INSTITUIÇÃO</t>
  </si>
  <si>
    <t>BANCO RABOBANK INTERNATIONAL B</t>
  </si>
  <si>
    <t>→ RESPOSTA: A correlação entre ativo e ROE parece ___ porque ___. O maior banco tem ROE de __%.</t>
  </si>
  <si>
    <t>EXERCÍCIO 4 — DESAFIO: Compare dois indicadores no mesmo gráfico</t>
  </si>
  <si>
    <t>📋 Tarefa: Crie um gráfico de barras agrupadas com ROE (%) e Índice Crédito/Ativo (%)</t>
  </si>
  <si>
    <t xml:space="preserve">         por segmento. Dois indicadores, mesmas barras, eixo duplo.</t>
  </si>
  <si>
    <t>💡 Dica: Selecione as 3 colunas → Inserir → Barras Agrupadas → Clique na série ROE</t>
  </si>
  <si>
    <t xml:space="preserve">         → Formatar Série → Eixo Secundário (os valores têm escalas diferentes).</t>
  </si>
  <si>
    <t>❓ Pergunta: Em qual segmento o crédito representa maior proporção do ativo?</t>
  </si>
  <si>
    <t>★  Este gráfico mostra como comparar dois KPIs com escalas diferentes — habilidade valorizada no mercado.</t>
  </si>
  <si>
    <t>Índice Créd/Ativo (%)</t>
  </si>
  <si>
    <t>→ INSIRA SEU GRÁFICO AQUI (com eixo secundário para o ROE)</t>
  </si>
  <si>
    <t>→ RESPOSTA: O segmento ___ tem maior índice crédito/ativo (___%). Significa que ___.</t>
  </si>
  <si>
    <t>Fonte: IF.data — Banco Central do Brasil — Set/2025 | Use Claude.ai para validar suas análises e discutir o raciocínio</t>
  </si>
  <si>
    <t>EXERCÍCIOS BÁSICOS  |  Fórmulas essenciais com dados reais do IF.data</t>
  </si>
  <si>
    <t xml:space="preserve">  Nível: Iniciante  |  Use a aba Base_IFdata para consultar os dados  |  Todos os valores em R$ mil</t>
  </si>
  <si>
    <t xml:space="preserve">  MEDIDAS DE RESUMO</t>
  </si>
  <si>
    <t>Nº</t>
  </si>
  <si>
    <t>O que fazer</t>
  </si>
  <si>
    <t>Sua fórmula aqui ↓</t>
  </si>
  <si>
    <t>Resultado</t>
  </si>
  <si>
    <t>Para reflexão (responda com suas palavras)</t>
  </si>
  <si>
    <t>Qual é o ATIVO TOTAL MÉDIO das 100 maiores instituições?
→ Coluna G da Base_IFdata</t>
  </si>
  <si>
    <t>← escreva aqui</t>
  </si>
  <si>
    <t>💡 Compara com a mediana. O que a diferença entre elas diz sobre a distribuição?</t>
  </si>
  <si>
    <t>Qual é a MEDIANA do Ativo Total?
→ A mediana é mais representativa que a média neste caso? Por quê?</t>
  </si>
  <si>
    <t>💡 Se a média for muito maior que a mediana, há concentração nos grandes bancos.</t>
  </si>
  <si>
    <t>Qual é o MAIOR Ativo Total? Qual é o MENOR?
→ Use MÁXIMO e MÍNIMO</t>
  </si>
  <si>
    <t>💡 A diferença entre o maior e menor ativo mostra a concentração do setor.</t>
  </si>
  <si>
    <t>4</t>
  </si>
  <si>
    <t>Qual é o QUARTIL 1 (Q1) e QUARTIL 3 (Q3) da Carteira de Crédito?
→ Coluna H</t>
  </si>
  <si>
    <t>💡 Q1 e Q3 delimitam onde estão 50% das instituições do meio da distribuição.</t>
  </si>
  <si>
    <t>5</t>
  </si>
  <si>
    <t>Qual é o PERCENTIL 90 do Patrimônio Líquido?
→ Coluna L</t>
  </si>
  <si>
    <t>💡 90% das instituições têm PL abaixo deste valor. Só 10% estão acima.</t>
  </si>
  <si>
    <t>6</t>
  </si>
  <si>
    <t>Quantas agências existem no total? Qual é a média por instituição?
→ Coluna N</t>
  </si>
  <si>
    <t>💡 Compare com a mediana de agências. A distribuição é concentrada em poucos bancos?</t>
  </si>
  <si>
    <t xml:space="preserve">  CONTAGEM E SOMA CONDICIONAL</t>
  </si>
  <si>
    <t>7</t>
  </si>
  <si>
    <t>Quantas instituições são de CONTROLE PÚBLICO (TC = 1)?
→ Coluna D da Base_IFdata</t>
  </si>
  <si>
    <t>💡 Bancos públicos são minoria em número, mas representam grande parte do ativo total.</t>
  </si>
  <si>
    <t>8</t>
  </si>
  <si>
    <t>Quantas instituições são do SEGMENTO S1?
→ Coluna C</t>
  </si>
  <si>
    <t>💡 O S1 concentra os bancos sistemicamente importantes: Itaú, BB, Caixa, Bradesco, Santander.</t>
  </si>
  <si>
    <t>9</t>
  </si>
  <si>
    <t>Qual é a SOMA do Ativo Total das instituições PÚBLICAS (TC = 1)?
→ Use SOMASE</t>
  </si>
  <si>
    <t>💡 Compare com a soma total. Qual % do ativo é público?</t>
  </si>
  <si>
    <t>10</t>
  </si>
  <si>
    <t>Qual é a MÉDIA da Carteira de Crédito das instituições PRIVADAS NACIONAIS (TC = 2)?
→ Use MÉDIASE</t>
  </si>
  <si>
    <t>💡 Compare com a média das públicas e estrangeiras.</t>
  </si>
  <si>
    <t>11</t>
  </si>
  <si>
    <t>Quantas instituições de SP têm Lucro Líquido POSITIVO?
→ Use CONT.SES com duas condições</t>
  </si>
  <si>
    <t>💡 SP concentra a maioria das sedes do sistema financeiro nacional.</t>
  </si>
  <si>
    <t>12</t>
  </si>
  <si>
    <t>Qual é o SOMA do Lucro Líquido das instituições de CONTROLE ESTRANGEIRO (TC = 3)?
→ Use SOMASE</t>
  </si>
  <si>
    <t>💡 Bancos estrangeiros têm lucros altos mesmo com carteiras menores?</t>
  </si>
  <si>
    <t xml:space="preserve">  CLASSIFICAÇÃO E LÓGICA</t>
  </si>
  <si>
    <t>13</t>
  </si>
  <si>
    <t>Na coluna ao lado, classifique cada instituição: 'Grande' se Ativo &gt; 100 bilhões, senão 'Média/Pequena'
→ Use SE (100 bi = 100.000.000 em R$ mil)</t>
  </si>
  <si>
    <t>💡 Quantas são 'Grandes'? Esse grupo representa qual % do ativo total?</t>
  </si>
  <si>
    <t>14</t>
  </si>
  <si>
    <t>Classifique o ROE (coluna S): 'Excelente' se &gt; 15%, 'Bom' se &gt; 8%, 'Fraco' se &gt; 0%, 'Prejuízo' se ≤ 0%
→ Use SES</t>
  </si>
  <si>
    <t>💡 Quantas instituições têm ROE 'Excelente'? São os bancos que você esperaria?</t>
  </si>
  <si>
    <t>15</t>
  </si>
  <si>
    <t>Use PROCV para buscar o Ativo Total do NUBANK
→ A chave é o nome na coluna A da Base_IFdata</t>
  </si>
  <si>
    <t>💡 Agora busque o Patrimônio Líquido e o Lucro Líquido do Nubank com PROCV.</t>
  </si>
  <si>
    <t>EXERCÍCIOS INTERMEDIÁRIOS  |  Análise aprofundada com dados reais do IF.data</t>
  </si>
  <si>
    <t xml:space="preserve">  Nível: Intermediário  |  Requer conclusão dos exercícios básicos  |  Use Claude.ai para discutir suas interpretações</t>
  </si>
  <si>
    <t xml:space="preserve">  ANÁLISE COMPARATIVA POR SEGMENTO</t>
  </si>
  <si>
    <t>Sua resposta / fórmula</t>
  </si>
  <si>
    <t>Reflexão</t>
  </si>
  <si>
    <t>Monte uma tabela comparativa: para cada segmento (S1 a S5), calcule:
  a) Qtd de instituições
  b) Soma do Ativo Total
  c) Média da Carteira de Crédito
  d) Soma do Lucro Líquido
→ Use CONT.SE, SOMASE e MÉDIASE para cada segmento</t>
  </si>
  <si>
    <t>💡 Qual segmento concentra mais ativos? E mais lucro? A distribuição é equilibrada?</t>
  </si>
  <si>
    <t>Compare o ROE médio por tipo de controle:
  a) Público (TC=1)
  b) Privado Nacional (TC=2)
  c) Privado Estrangeiro (TC=3)
→ Use MÉDIASE na coluna S (ROE)</t>
  </si>
  <si>
    <t>💡 Qual tipo de controle gera maior retorno para os acionistas? Isso surpreende você?</t>
  </si>
  <si>
    <t>Calcule a participação de mercado de cada tipo de controle no Ativo Total:
  % Público = Soma Ativo Público / Soma Ativo Total × 100
→ Use SOMASE e operações simples</t>
  </si>
  <si>
    <t>💡 A concentração bancária está nos bancos públicos ou privados? Compare com outros países.</t>
  </si>
  <si>
    <t xml:space="preserve">  ANÁLISE DE EFICIÊNCIA E RENTABILIDADE</t>
  </si>
  <si>
    <t>Identifique as 5 instituições com MAIOR ROE na base.
→ Use ORDEM ou ordene manualmente</t>
  </si>
  <si>
    <t>💡 As mais rentáveis são os maiores bancos ou instituições menores?</t>
  </si>
  <si>
    <t>Calcule o Índice de Alavancagem (Passivo / PL) para cada instituição.
→ Crie fórmula na coluna ao lado: =Passivo/Patrimônio Líquido</t>
  </si>
  <si>
    <t>💡 Alavancagem alta pode indicar maior risco. Quem tem a maior alavancagem?</t>
  </si>
  <si>
    <t>Quais instituições têm Carteira de Crédito MAIOR que o Patrimônio Líquido por um fator de 10 ou mais?
→ Use CONT.SES com condição relativa</t>
  </si>
  <si>
    <t>💡 Alta relação crédito/PL é comum em bancos de varejo. É um sinal de risco?</t>
  </si>
  <si>
    <t xml:space="preserve">  ANÁLISE REGIONAL E ESTRUTURAL</t>
  </si>
  <si>
    <t>Quantas instituições com sede em SP têm Ativo acima de R$ 1 bilhão (= 1.000.000 em R$ mil)?
→ Use CONT.SES com UF='SP' e Ativo&gt;1000000</t>
  </si>
  <si>
    <t>💡 SP concentra as maiores instituições. Que % do total isso representa?</t>
  </si>
  <si>
    <t>Qual é a soma do Ativo Total das instituições DIGITAIS (sem agências físicas, ou seja, Agências = 0)?
→ Use SOMASE com condição Agências=0</t>
  </si>
  <si>
    <t>💡 As fintechs sem agências já representam quanto do sistema financeiro?</t>
  </si>
  <si>
    <t>Monte um resumo: quantas instituições de cada UF estão na base?
→ Use CONT.SE para as principais UFs: SP, MG, RS, RJ, PR</t>
  </si>
  <si>
    <t>💡 A distribuição geográfica reflete o PIB de cada estado?</t>
  </si>
  <si>
    <t xml:space="preserve">  INSIGHT FINAL – ESCREVA SUA ANÁLISE</t>
  </si>
  <si>
    <t>Com base em todos os exercícios anteriores, escreva sua análise respondendo:
  1. Qual é o perfil do sistema financeiro brasileiro segundo esta base?
  2. Qual insight mais te surpreendeu?
  3. Se você fosse apresentar isso para um diretor em 2 minutos, o que diria?
→ Use a aba Template_Análise para organizar sua resposta</t>
  </si>
  <si>
    <t>💡 Use o Claude.ai: cole seus insights e peça 'Transforme isso em uma análise executiva de 3 parágrafos'.</t>
  </si>
  <si>
    <t>TEMPLATE DE ANÁLISE  |  Preencha com base nos dados do IF.data</t>
  </si>
  <si>
    <t xml:space="preserve">  1. CONTEXTO DA ANÁLISE</t>
  </si>
  <si>
    <t>Pergunta que vou responder:</t>
  </si>
  <si>
    <t>Por que essa análise importa?</t>
  </si>
  <si>
    <t>Base de dados utilizada:</t>
  </si>
  <si>
    <t>IF.data – Banco Central do Brasil – Setembro/2025</t>
  </si>
  <si>
    <t>Período analisado:</t>
  </si>
  <si>
    <t xml:space="preserve">  2. PRINCIPAIS INDICADORES</t>
  </si>
  <si>
    <t>Ativo Total do sistema (Top 100):</t>
  </si>
  <si>
    <t>Participação pública no ativo total (%):</t>
  </si>
  <si>
    <t>ROE médio do sistema:</t>
  </si>
  <si>
    <t>Mediana da Carteira de Crédito:</t>
  </si>
  <si>
    <t>Número de instituições sem agências físicas:</t>
  </si>
  <si>
    <t xml:space="preserve">  3. INSIGHT PRINCIPAL (em uma frase)</t>
  </si>
  <si>
    <t>Insight:</t>
  </si>
  <si>
    <t>Evidência 1:</t>
  </si>
  <si>
    <t>Evidência 2:</t>
  </si>
  <si>
    <t xml:space="preserve">  4. IMPLICAÇÕES</t>
  </si>
  <si>
    <t>Para o setor financeiro:</t>
  </si>
  <si>
    <t>O que isso significa para um analista de dados?</t>
  </si>
  <si>
    <t xml:space="preserve">  5. PRÓXIMOS PASSOS / O QUE INVESTIGAR</t>
  </si>
  <si>
    <t>Pergunta que ficou sem resposta:</t>
  </si>
  <si>
    <t>Dado que seria útil ter:</t>
  </si>
  <si>
    <t>Análise que faria com mais tempo:</t>
  </si>
  <si>
    <t>Media</t>
  </si>
  <si>
    <t>Mediana</t>
  </si>
  <si>
    <t>Max</t>
  </si>
  <si>
    <t>Min</t>
  </si>
  <si>
    <t>QUARTIL Q1 25%</t>
  </si>
  <si>
    <t>QUARTIL Q2 50%</t>
  </si>
  <si>
    <t>QUARTIL Q3 75%</t>
  </si>
  <si>
    <t>PERCENTIL 90</t>
  </si>
  <si>
    <t>Media por inst</t>
  </si>
  <si>
    <t>mediana</t>
  </si>
  <si>
    <t>MÉDIA(G5:G104)</t>
  </si>
  <si>
    <t>total tc=1</t>
  </si>
  <si>
    <t>total de segmentos s1</t>
  </si>
  <si>
    <t>CONT.SE(C5:C117;C6)</t>
  </si>
  <si>
    <t>MED(G5:G104)</t>
  </si>
  <si>
    <t>MÁXIMO(G5:G104)            MÍNIMO(G5:G104)</t>
  </si>
  <si>
    <t>905220074           9522043</t>
  </si>
  <si>
    <t>QUARTIL.EXC(H5:H104;1)  QUARTIL.EXC(H5:H104;3)</t>
  </si>
  <si>
    <t>5792380                 22929973</t>
  </si>
  <si>
    <t>PERCENTIL.EXC(L5:L104;0,9)</t>
  </si>
  <si>
    <t>SOMA(N5:N104)</t>
  </si>
  <si>
    <t>CONT.SE(D5:D116;D5)</t>
  </si>
  <si>
    <t>exc 9</t>
  </si>
  <si>
    <t>exc10</t>
  </si>
  <si>
    <t>exc11</t>
  </si>
  <si>
    <t>exc12</t>
  </si>
  <si>
    <t>SOMASE(D5:D104;D5;G5:G104)</t>
  </si>
  <si>
    <t>MÉDIASE(D5:D104;D6;H5:H104)</t>
  </si>
  <si>
    <t>CONT.SES(F5:F104;F8;M5:M104;"&gt;0")</t>
  </si>
  <si>
    <t>SOMASE(D5:D104;D9;M5:M104)</t>
  </si>
  <si>
    <t>exc13</t>
  </si>
  <si>
    <t>PROCV(Base_IFdata!A9;Base_IFdata!A5:G104;7;FALSO)</t>
  </si>
  <si>
    <t>SE(H6&gt;= 100000000; "Grande"; "Média/Pequena" )</t>
  </si>
  <si>
    <t>SES(T5:T104&gt;15%;"Excelente";T5:T104&gt;8%;"Bom";T5:T104&gt;0%;"Fraco";T5:T104&lt;=0%;"Prejuizo")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</si>
</sst>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%"/>
    <numFmt numFmtId="165" formatCode="#,##0.0"/>
    <numFmt numFmtId="166" formatCode="0.0"/>
    <numFmt numFmtId="167" formatCode="&quot;R$&quot;\ #,##0.00"/>
    <numFmt numFmtId="168" formatCode="&quot;R$&quot;\ #,##0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2"/>
      <color rgb="FF1B3F7A"/>
      <name val="Calibri"/>
      <charset val="1"/>
    </font>
    <font>
      <sz val="10"/>
      <color rgb="FF1A1A1A"/>
      <name val="Arial"/>
      <charset val="1"/>
    </font>
    <font>
      <b/>
      <sz val="10"/>
      <color rgb="FFC0395A"/>
      <name val="Arial"/>
      <charset val="1"/>
    </font>
    <font>
      <b/>
      <sz val="10"/>
      <color rgb="FF1B3F7A"/>
      <name val="Arial"/>
      <charset val="1"/>
    </font>
    <font>
      <b/>
      <sz val="10"/>
      <color rgb="FF1A6B3C"/>
      <name val="Arial"/>
      <charset val="1"/>
    </font>
    <font>
      <b/>
      <sz val="13"/>
      <color rgb="FFFFFFFF"/>
      <name val="Calibri"/>
      <charset val="1"/>
    </font>
    <font>
      <b/>
      <sz val="9"/>
      <color rgb="FFD6E4F7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sz val="9"/>
      <color rgb="FF64748B"/>
      <name val="Arial"/>
      <charset val="1"/>
    </font>
    <font>
      <sz val="9"/>
      <color rgb="FF1B3F7A"/>
      <name val="Arial"/>
      <charset val="1"/>
    </font>
    <font>
      <sz val="9"/>
      <color rgb="FF1A6B3C"/>
      <name val="Arial"/>
      <charset val="1"/>
    </font>
    <font>
      <sz val="9"/>
      <color rgb="FFC0395A"/>
      <name val="Arial"/>
      <charset val="1"/>
    </font>
    <font>
      <b/>
      <sz val="10"/>
      <color rgb="FFFFFFFF"/>
      <name val="Arial"/>
      <charset val="1"/>
    </font>
    <font>
      <sz val="10"/>
      <color rgb="FF64748B"/>
      <name val="Arial"/>
      <charset val="1"/>
    </font>
    <font>
      <sz val="10"/>
      <color rgb="FF1A6B3C"/>
      <name val="Arial"/>
      <charset val="1"/>
    </font>
    <font>
      <b/>
      <sz val="13"/>
      <color rgb="FFFFFFFF"/>
      <name val="Arial"/>
      <charset val="1"/>
    </font>
    <font>
      <i/>
      <sz val="10"/>
      <color rgb="FF555577"/>
      <name val="Arial"/>
      <charset val="1"/>
    </font>
    <font>
      <b/>
      <sz val="12"/>
      <color rgb="FFFFFFFF"/>
      <name val="Arial"/>
      <charset val="1"/>
    </font>
    <font>
      <i/>
      <sz val="10"/>
      <color rgb="FF7A5700"/>
      <name val="Arial"/>
      <charset val="1"/>
    </font>
    <font>
      <b/>
      <sz val="11"/>
      <color rgb="FFFFFFFF"/>
      <name val="Arial"/>
      <charset val="1"/>
    </font>
    <font>
      <b/>
      <sz val="11"/>
      <color rgb="FF1A1A1A"/>
      <name val="Arial"/>
      <charset val="1"/>
    </font>
    <font>
      <sz val="11"/>
      <color rgb="FF1A1A1A"/>
      <name val="Arial"/>
      <charset val="1"/>
    </font>
    <font>
      <i/>
      <sz val="9"/>
      <color rgb="FF777777"/>
      <name val="Arial"/>
      <charset val="1"/>
    </font>
    <font>
      <b/>
      <sz val="10"/>
      <color rgb="FF1A1A1A"/>
      <name val="Arial"/>
      <charset val="1"/>
    </font>
    <font>
      <i/>
      <sz val="10"/>
      <color rgb="FFC0395A"/>
      <name val="Arial"/>
      <charset val="1"/>
    </font>
    <font>
      <sz val="10"/>
      <color rgb="FF555555"/>
      <name val="Arial"/>
      <charset val="1"/>
    </font>
    <font>
      <b/>
      <sz val="10"/>
      <color rgb="FF2E6B4F"/>
      <name val="Arial"/>
      <charset val="1"/>
    </font>
    <font>
      <b/>
      <sz val="9"/>
      <color rgb="FF7A5700"/>
      <name val="Arial"/>
      <charset val="1"/>
    </font>
    <font>
      <i/>
      <sz val="9"/>
      <color rgb="FF1A6B3C"/>
      <name val="Arial"/>
      <charset val="1"/>
    </font>
    <font>
      <b/>
      <sz val="9"/>
      <color rgb="FFC0395A"/>
      <name val="Arial"/>
      <charset val="1"/>
    </font>
    <font>
      <i/>
      <sz val="10"/>
      <color rgb="FF1A1A1A"/>
      <name val="Arial"/>
      <charset val="1"/>
    </font>
    <font>
      <sz val="11"/>
      <color theme="1"/>
      <name val="Calibri"/>
      <family val="2"/>
      <charset val="1"/>
    </font>
    <font>
      <sz val="9"/>
      <color rgb="FF1A1A1A"/>
      <name val="Arial"/>
      <family val="2"/>
    </font>
    <font>
      <i/>
      <sz val="9"/>
      <color rgb="FF1A6B3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3F7A"/>
        <bgColor rgb="FF344D7E"/>
      </patternFill>
    </fill>
    <fill>
      <patternFill patternType="solid">
        <fgColor rgb="FFD6E4F7"/>
        <bgColor rgb="FFD4EDDA"/>
      </patternFill>
    </fill>
    <fill>
      <patternFill patternType="solid">
        <fgColor rgb="FFFFFFFF"/>
        <bgColor rgb="FFF4F6FB"/>
      </patternFill>
    </fill>
    <fill>
      <patternFill patternType="solid">
        <fgColor rgb="FFFAD4E3"/>
        <bgColor rgb="FFD9D9D9"/>
      </patternFill>
    </fill>
    <fill>
      <patternFill patternType="solid">
        <fgColor rgb="FFF4F6FB"/>
        <bgColor rgb="FFEEF4FF"/>
      </patternFill>
    </fill>
    <fill>
      <patternFill patternType="solid">
        <fgColor rgb="FFD4EDDA"/>
        <bgColor rgb="FFD6E4F7"/>
      </patternFill>
    </fill>
    <fill>
      <patternFill patternType="solid">
        <fgColor rgb="FF0D2147"/>
        <bgColor rgb="FF1A1A1A"/>
      </patternFill>
    </fill>
    <fill>
      <patternFill patternType="solid">
        <fgColor rgb="FFEEF4FF"/>
        <bgColor rgb="FFF4F6FB"/>
      </patternFill>
    </fill>
    <fill>
      <patternFill patternType="solid">
        <fgColor rgb="FFC0395A"/>
        <bgColor rgb="FF993300"/>
      </patternFill>
    </fill>
    <fill>
      <patternFill patternType="solid">
        <fgColor rgb="FFFFF8DC"/>
        <bgColor rgb="FFF4F6FB"/>
      </patternFill>
    </fill>
    <fill>
      <patternFill patternType="solid">
        <fgColor rgb="FF2E6B4F"/>
        <bgColor rgb="FF1A6B3C"/>
      </patternFill>
    </fill>
    <fill>
      <patternFill patternType="solid">
        <fgColor rgb="FF344D7E"/>
        <bgColor rgb="FF1B3F7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34" fillId="0" borderId="0" applyFont="0" applyFill="0" applyBorder="0" applyAlignment="0" applyProtection="0"/>
  </cellStyleXfs>
  <cellXfs count="111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right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right" vertical="center"/>
    </xf>
    <xf numFmtId="164" fontId="13" fillId="4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right" vertical="center"/>
    </xf>
    <xf numFmtId="3" fontId="14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2" fontId="24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165" fontId="24" fillId="4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2" fontId="24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165" fontId="24" fillId="6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166" fontId="24" fillId="4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166" fontId="24" fillId="6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165" fontId="22" fillId="2" borderId="1" xfId="0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center" vertical="center"/>
    </xf>
    <xf numFmtId="2" fontId="24" fillId="4" borderId="0" xfId="0" applyNumberFormat="1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165" fontId="24" fillId="4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0" fontId="31" fillId="7" borderId="1" xfId="0" applyFont="1" applyFill="1" applyBorder="1" applyAlignment="1">
      <alignment horizontal="left" vertical="center" wrapText="1"/>
    </xf>
    <xf numFmtId="167" fontId="0" fillId="0" borderId="0" xfId="1" applyNumberFormat="1" applyFont="1" applyAlignment="1">
      <alignment wrapText="1"/>
    </xf>
    <xf numFmtId="167" fontId="10" fillId="4" borderId="1" xfId="0" applyNumberFormat="1" applyFont="1" applyFill="1" applyBorder="1" applyAlignment="1">
      <alignment vertical="center" wrapText="1"/>
    </xf>
    <xf numFmtId="168" fontId="0" fillId="0" borderId="0" xfId="0" applyNumberFormat="1" applyAlignment="1">
      <alignment horizontal="center" vertical="center"/>
    </xf>
    <xf numFmtId="168" fontId="10" fillId="6" borderId="1" xfId="1" applyNumberFormat="1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center" vertical="center"/>
    </xf>
    <xf numFmtId="168" fontId="10" fillId="4" borderId="1" xfId="1" applyNumberFormat="1" applyFont="1" applyFill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/>
    </xf>
    <xf numFmtId="168" fontId="10" fillId="6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left" vertical="center" wrapText="1"/>
    </xf>
    <xf numFmtId="1" fontId="31" fillId="7" borderId="1" xfId="0" applyNumberFormat="1" applyFont="1" applyFill="1" applyBorder="1" applyAlignment="1">
      <alignment horizontal="left" vertical="center"/>
    </xf>
    <xf numFmtId="4" fontId="10" fillId="4" borderId="1" xfId="0" applyNumberFormat="1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35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horizontal="left" vertical="center" indent="1"/>
    </xf>
    <xf numFmtId="0" fontId="3" fillId="6" borderId="2" xfId="0" applyFont="1" applyFill="1" applyBorder="1" applyAlignment="1">
      <alignment horizontal="left" vertical="center" wrapText="1" indent="1"/>
    </xf>
    <xf numFmtId="0" fontId="6" fillId="7" borderId="0" xfId="0" applyFont="1" applyFill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wrapText="1" indent="1"/>
    </xf>
    <xf numFmtId="0" fontId="8" fillId="8" borderId="0" xfId="0" applyFont="1" applyFill="1" applyAlignment="1">
      <alignment horizontal="left" vertical="center" indent="1"/>
    </xf>
    <xf numFmtId="0" fontId="21" fillId="11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left" vertical="center"/>
    </xf>
    <xf numFmtId="0" fontId="20" fillId="12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left" vertical="center" indent="1"/>
    </xf>
    <xf numFmtId="0" fontId="33" fillId="4" borderId="2" xfId="0" applyFont="1" applyFill="1" applyBorder="1" applyAlignment="1">
      <alignment horizontal="left" vertical="center" wrapText="1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A5700"/>
      <rgbColor rgb="FF800080"/>
      <rgbColor rgb="FF2E6B4F"/>
      <rgbColor rgb="FFCCCCCC"/>
      <rgbColor rgb="FF777777"/>
      <rgbColor rgb="FF9999FF"/>
      <rgbColor rgb="FFC0395A"/>
      <rgbColor rgb="FFFFF8DC"/>
      <rgbColor rgb="FFEEF4FF"/>
      <rgbColor rgb="FF660066"/>
      <rgbColor rgb="FFFF8080"/>
      <rgbColor rgb="FF344D7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4EDDA"/>
      <rgbColor rgb="FFF4F6FB"/>
      <rgbColor rgb="FF99CCFF"/>
      <rgbColor rgb="FFFF99CC"/>
      <rgbColor rgb="FFCC99FF"/>
      <rgbColor rgb="FFFAD4E3"/>
      <rgbColor rgb="FF4F81BD"/>
      <rgbColor rgb="FF4DB89E"/>
      <rgbColor rgb="FF99CC00"/>
      <rgbColor rgb="FFFFCC00"/>
      <rgbColor rgb="FFFF9900"/>
      <rgbColor rgb="FFFF6600"/>
      <rgbColor rgb="FF64748B"/>
      <rgbColor rgb="FFB3B3B3"/>
      <rgbColor rgb="FF0D2147"/>
      <rgbColor rgb="FF339966"/>
      <rgbColor rgb="FF003300"/>
      <rgbColor rgb="FF555555"/>
      <rgbColor rgb="FF993300"/>
      <rgbColor rgb="FF555577"/>
      <rgbColor rgb="FF1B3F7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ROE Médio por Segmento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Exemplos_Graficos!$B$6</c:f>
              <c:strCache>
                <c:ptCount val="1"/>
                <c:pt idx="0">
                  <c:v>ROE Médio (%)</c:v>
                </c:pt>
              </c:strCache>
            </c:strRef>
          </c:tx>
          <c:spPr>
            <a:solidFill>
              <a:srgbClr val="1B3F7A"/>
            </a:solidFill>
            <a:ln w="9360">
              <a:solidFill>
                <a:srgbClr val="1B3F7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Exemplos_Graficos!$A$7:$A$11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Exemplos_Graficos!$B$7:$B$11</c:f>
              <c:numCache>
                <c:formatCode>0.00</c:formatCode>
                <c:ptCount val="5"/>
                <c:pt idx="0">
                  <c:v>4.67</c:v>
                </c:pt>
                <c:pt idx="1">
                  <c:v>4.33</c:v>
                </c:pt>
                <c:pt idx="2">
                  <c:v>3.02</c:v>
                </c:pt>
                <c:pt idx="3">
                  <c:v>3.83</c:v>
                </c:pt>
                <c:pt idx="4">
                  <c:v>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A-4187-AA5D-19BDDD75C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89283"/>
        <c:axId val="16972611"/>
      </c:barChart>
      <c:catAx>
        <c:axId val="52889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Segmento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972611"/>
        <c:crosses val="autoZero"/>
        <c:auto val="1"/>
        <c:lblAlgn val="ctr"/>
        <c:lblOffset val="100"/>
        <c:noMultiLvlLbl val="0"/>
      </c:catAx>
      <c:valAx>
        <c:axId val="169726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ROE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2889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Participação no Ativo Total por Tipo de Controle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Exemplos_Graficos!$C$31</c:f>
              <c:strCache>
                <c:ptCount val="1"/>
                <c:pt idx="0">
                  <c:v>Participação (%)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B3F7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3FE-4AD0-AE31-C63DA982D46B}"/>
              </c:ext>
            </c:extLst>
          </c:dPt>
          <c:dPt>
            <c:idx val="1"/>
            <c:bubble3D val="0"/>
            <c:spPr>
              <a:solidFill>
                <a:srgbClr val="C0395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3FE-4AD0-AE31-C63DA982D46B}"/>
              </c:ext>
            </c:extLst>
          </c:dPt>
          <c:dPt>
            <c:idx val="2"/>
            <c:bubble3D val="0"/>
            <c:spPr>
              <a:solidFill>
                <a:srgbClr val="4DB89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3FE-4AD0-AE31-C63DA982D46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FE-4AD0-AE31-C63DA982D46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FE-4AD0-AE31-C63DA982D46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FE-4AD0-AE31-C63DA982D4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Exemplos_Graficos!$A$32:$A$34</c:f>
              <c:strCache>
                <c:ptCount val="3"/>
                <c:pt idx="0">
                  <c:v>Público</c:v>
                </c:pt>
                <c:pt idx="1">
                  <c:v>Privado Nacional</c:v>
                </c:pt>
                <c:pt idx="2">
                  <c:v>Privado Estrangeiro</c:v>
                </c:pt>
              </c:strCache>
            </c:strRef>
          </c:cat>
          <c:val>
            <c:numRef>
              <c:f>Exemplos_Graficos!$C$32:$C$34</c:f>
              <c:numCache>
                <c:formatCode>0.0</c:formatCode>
                <c:ptCount val="3"/>
                <c:pt idx="0">
                  <c:v>22.7</c:v>
                </c:pt>
                <c:pt idx="1">
                  <c:v>51.7</c:v>
                </c:pt>
                <c:pt idx="2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FE-4AD0-AE31-C63DA982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Instituições — Ativo Total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Exemplos_Graficos!$B$55</c:f>
              <c:strCache>
                <c:ptCount val="1"/>
                <c:pt idx="0">
                  <c:v>Ativo Total (R$ bi)</c:v>
                </c:pt>
              </c:strCache>
            </c:strRef>
          </c:tx>
          <c:spPr>
            <a:solidFill>
              <a:srgbClr val="C0395A"/>
            </a:solidFill>
            <a:ln w="9360">
              <a:solidFill>
                <a:srgbClr val="C0395A"/>
              </a:solidFill>
              <a:round/>
            </a:ln>
          </c:spPr>
          <c:invertIfNegative val="0"/>
          <c:cat>
            <c:strRef>
              <c:f>Exemplos_Graficos!$A$56:$A$65</c:f>
              <c:strCache>
                <c:ptCount val="10"/>
                <c:pt idx="0">
                  <c:v>BANCO NACIONAL DE DESENVOLVIME</c:v>
                </c:pt>
                <c:pt idx="1">
                  <c:v>BTG PACTUAL</c:v>
                </c:pt>
                <c:pt idx="2">
                  <c:v>XP</c:v>
                </c:pt>
                <c:pt idx="3">
                  <c:v>SAFRA</c:v>
                </c:pt>
                <c:pt idx="4">
                  <c:v>NUBANK</c:v>
                </c:pt>
                <c:pt idx="5">
                  <c:v>BANCO COOPERATIVO SICREDI S.A.</c:v>
                </c:pt>
                <c:pt idx="6">
                  <c:v>BANCO SICOOB</c:v>
                </c:pt>
                <c:pt idx="7">
                  <c:v>CITIBANK</c:v>
                </c:pt>
                <c:pt idx="8">
                  <c:v>BANRISUL</c:v>
                </c:pt>
                <c:pt idx="9">
                  <c:v>VOTORANTIM</c:v>
                </c:pt>
              </c:strCache>
            </c:strRef>
          </c:cat>
          <c:val>
            <c:numRef>
              <c:f>Exemplos_Graficos!$B$56:$B$65</c:f>
              <c:numCache>
                <c:formatCode>#,##0.0</c:formatCode>
                <c:ptCount val="10"/>
                <c:pt idx="0">
                  <c:v>0.9</c:v>
                </c:pt>
                <c:pt idx="1">
                  <c:v>0.7</c:v>
                </c:pt>
                <c:pt idx="2">
                  <c:v>0.3</c:v>
                </c:pt>
                <c:pt idx="3">
                  <c:v>0.3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5-4548-BAE6-38D351C23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17508"/>
        <c:axId val="66295671"/>
      </c:barChart>
      <c:catAx>
        <c:axId val="679175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Ativo Total (R$ bi)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295671"/>
        <c:crosses val="autoZero"/>
        <c:auto val="1"/>
        <c:lblAlgn val="ctr"/>
        <c:lblOffset val="100"/>
        <c:noMultiLvlLbl val="0"/>
      </c:catAx>
      <c:valAx>
        <c:axId val="66295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Instituição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917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123825</xdr:rowOff>
    </xdr:from>
    <xdr:to>
      <xdr:col>5</xdr:col>
      <xdr:colOff>364635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35</xdr:row>
      <xdr:rowOff>78105</xdr:rowOff>
    </xdr:from>
    <xdr:to>
      <xdr:col>5</xdr:col>
      <xdr:colOff>362730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36195</xdr:colOff>
      <xdr:row>65</xdr:row>
      <xdr:rowOff>76199</xdr:rowOff>
    </xdr:from>
    <xdr:to>
      <xdr:col>5</xdr:col>
      <xdr:colOff>70484</xdr:colOff>
      <xdr:row>81</xdr:row>
      <xdr:rowOff>140969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selection activeCell="B11" sqref="B11:D11"/>
    </sheetView>
  </sheetViews>
  <sheetFormatPr defaultColWidth="8.7109375" defaultRowHeight="15" x14ac:dyDescent="0.25"/>
  <cols>
    <col min="1" max="1" width="26" customWidth="1"/>
    <col min="2" max="4" width="24" customWidth="1"/>
  </cols>
  <sheetData>
    <row r="1" spans="1:4" ht="31.5" customHeight="1" x14ac:dyDescent="0.25">
      <c r="A1" s="87" t="s">
        <v>0</v>
      </c>
      <c r="B1" s="87"/>
      <c r="C1" s="87"/>
      <c r="D1" s="87"/>
    </row>
    <row r="2" spans="1:4" ht="7.5" customHeight="1" x14ac:dyDescent="0.25"/>
    <row r="3" spans="1:4" ht="24" customHeight="1" x14ac:dyDescent="0.25">
      <c r="A3" s="88" t="s">
        <v>1</v>
      </c>
      <c r="B3" s="88"/>
      <c r="C3" s="88"/>
      <c r="D3" s="88"/>
    </row>
    <row r="4" spans="1:4" ht="55.5" customHeight="1" x14ac:dyDescent="0.25">
      <c r="A4" s="89" t="s">
        <v>2</v>
      </c>
      <c r="B4" s="89"/>
      <c r="C4" s="89"/>
      <c r="D4" s="89"/>
    </row>
    <row r="5" spans="1:4" ht="7.5" customHeight="1" x14ac:dyDescent="0.25"/>
    <row r="6" spans="1:4" ht="21.75" customHeight="1" x14ac:dyDescent="0.25">
      <c r="A6" s="90" t="s">
        <v>3</v>
      </c>
      <c r="B6" s="90"/>
      <c r="C6" s="90"/>
      <c r="D6" s="90"/>
    </row>
    <row r="7" spans="1:4" ht="3.75" customHeight="1" x14ac:dyDescent="0.25"/>
    <row r="8" spans="1:4" ht="33.75" customHeight="1" x14ac:dyDescent="0.25">
      <c r="A8" s="1" t="s">
        <v>4</v>
      </c>
      <c r="B8" s="91" t="s">
        <v>5</v>
      </c>
      <c r="C8" s="91"/>
      <c r="D8" s="91"/>
    </row>
    <row r="9" spans="1:4" ht="33.75" customHeight="1" x14ac:dyDescent="0.25">
      <c r="A9" s="1" t="s">
        <v>6</v>
      </c>
      <c r="B9" s="93" t="s">
        <v>7</v>
      </c>
      <c r="C9" s="93"/>
      <c r="D9" s="93"/>
    </row>
    <row r="10" spans="1:4" ht="33.75" customHeight="1" x14ac:dyDescent="0.25">
      <c r="A10" s="1" t="s">
        <v>8</v>
      </c>
      <c r="B10" s="91" t="s">
        <v>9</v>
      </c>
      <c r="C10" s="91"/>
      <c r="D10" s="91"/>
    </row>
    <row r="11" spans="1:4" ht="33.75" customHeight="1" x14ac:dyDescent="0.25">
      <c r="A11" s="1" t="s">
        <v>10</v>
      </c>
      <c r="B11" s="93" t="s">
        <v>11</v>
      </c>
      <c r="C11" s="93"/>
      <c r="D11" s="93"/>
    </row>
    <row r="12" spans="1:4" ht="33.75" customHeight="1" x14ac:dyDescent="0.25">
      <c r="A12" s="1" t="s">
        <v>12</v>
      </c>
      <c r="B12" s="91" t="s">
        <v>13</v>
      </c>
      <c r="C12" s="91"/>
      <c r="D12" s="91"/>
    </row>
    <row r="13" spans="1:4" ht="33.75" customHeight="1" x14ac:dyDescent="0.25">
      <c r="A13" s="1" t="s">
        <v>14</v>
      </c>
      <c r="B13" s="93" t="s">
        <v>15</v>
      </c>
      <c r="C13" s="93"/>
      <c r="D13" s="93"/>
    </row>
    <row r="14" spans="1:4" ht="7.5" customHeight="1" x14ac:dyDescent="0.25"/>
    <row r="15" spans="1:4" ht="21.75" customHeight="1" x14ac:dyDescent="0.25">
      <c r="A15" s="92" t="s">
        <v>16</v>
      </c>
      <c r="B15" s="92"/>
      <c r="C15" s="92"/>
      <c r="D15" s="92"/>
    </row>
    <row r="16" spans="1:4" ht="27.75" customHeight="1" x14ac:dyDescent="0.25">
      <c r="A16" s="2" t="s">
        <v>17</v>
      </c>
      <c r="B16" s="93" t="s">
        <v>18</v>
      </c>
      <c r="C16" s="93"/>
      <c r="D16" s="93"/>
    </row>
    <row r="17" spans="1:4" ht="27.75" customHeight="1" x14ac:dyDescent="0.25">
      <c r="A17" s="2" t="s">
        <v>19</v>
      </c>
      <c r="B17" s="93" t="s">
        <v>20</v>
      </c>
      <c r="C17" s="93"/>
      <c r="D17" s="93"/>
    </row>
    <row r="18" spans="1:4" ht="27.75" customHeight="1" x14ac:dyDescent="0.25">
      <c r="A18" s="2" t="s">
        <v>21</v>
      </c>
      <c r="B18" s="93" t="s">
        <v>22</v>
      </c>
      <c r="C18" s="93"/>
      <c r="D18" s="93"/>
    </row>
  </sheetData>
  <mergeCells count="14">
    <mergeCell ref="A15:D15"/>
    <mergeCell ref="B16:D16"/>
    <mergeCell ref="B17:D17"/>
    <mergeCell ref="B18:D18"/>
    <mergeCell ref="B9:D9"/>
    <mergeCell ref="B10:D10"/>
    <mergeCell ref="B11:D11"/>
    <mergeCell ref="B12:D12"/>
    <mergeCell ref="B13:D13"/>
    <mergeCell ref="A1:D1"/>
    <mergeCell ref="A3:D3"/>
    <mergeCell ref="A4:D4"/>
    <mergeCell ref="A6:D6"/>
    <mergeCell ref="B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18" customWidth="1"/>
    <col min="2" max="2" width="28" customWidth="1"/>
    <col min="3" max="3" width="12" customWidth="1"/>
    <col min="4" max="4" width="55" customWidth="1"/>
  </cols>
  <sheetData>
    <row r="1" spans="1:4" ht="31.5" customHeight="1" x14ac:dyDescent="0.25">
      <c r="A1" s="84" t="s">
        <v>218</v>
      </c>
      <c r="B1" s="84"/>
      <c r="C1" s="84"/>
      <c r="D1" s="84"/>
    </row>
    <row r="2" spans="1:4" ht="7.5" customHeight="1" x14ac:dyDescent="0.25"/>
    <row r="3" spans="1:4" ht="21.75" customHeight="1" x14ac:dyDescent="0.25">
      <c r="A3" s="86" t="s">
        <v>219</v>
      </c>
      <c r="B3" s="86"/>
      <c r="C3" s="86"/>
      <c r="D3" s="86"/>
    </row>
    <row r="4" spans="1:4" ht="19.5" customHeight="1" x14ac:dyDescent="0.25">
      <c r="A4" s="22" t="s">
        <v>220</v>
      </c>
      <c r="B4" s="22" t="s">
        <v>221</v>
      </c>
      <c r="C4" s="22" t="s">
        <v>222</v>
      </c>
      <c r="D4" s="22" t="s">
        <v>223</v>
      </c>
    </row>
    <row r="5" spans="1:4" ht="42" customHeight="1" x14ac:dyDescent="0.25">
      <c r="A5" s="1" t="s">
        <v>25</v>
      </c>
      <c r="B5" s="23" t="s">
        <v>224</v>
      </c>
      <c r="C5" s="24" t="s">
        <v>225</v>
      </c>
      <c r="D5" s="25" t="s">
        <v>226</v>
      </c>
    </row>
    <row r="6" spans="1:4" ht="42" customHeight="1" x14ac:dyDescent="0.25">
      <c r="A6" s="1" t="s">
        <v>26</v>
      </c>
      <c r="B6" s="26" t="s">
        <v>227</v>
      </c>
      <c r="C6" s="27" t="s">
        <v>228</v>
      </c>
      <c r="D6" s="28" t="s">
        <v>229</v>
      </c>
    </row>
    <row r="7" spans="1:4" ht="42" customHeight="1" x14ac:dyDescent="0.25">
      <c r="A7" s="1" t="s">
        <v>230</v>
      </c>
      <c r="B7" s="23" t="s">
        <v>231</v>
      </c>
      <c r="C7" s="24" t="s">
        <v>228</v>
      </c>
      <c r="D7" s="25" t="s">
        <v>232</v>
      </c>
    </row>
    <row r="8" spans="1:4" ht="42" customHeight="1" x14ac:dyDescent="0.25">
      <c r="A8" s="1" t="s">
        <v>233</v>
      </c>
      <c r="B8" s="26" t="s">
        <v>234</v>
      </c>
      <c r="C8" s="27" t="s">
        <v>228</v>
      </c>
      <c r="D8" s="28" t="s">
        <v>235</v>
      </c>
    </row>
    <row r="9" spans="1:4" ht="42" customHeight="1" x14ac:dyDescent="0.25">
      <c r="A9" s="1" t="s">
        <v>236</v>
      </c>
      <c r="B9" s="23" t="s">
        <v>237</v>
      </c>
      <c r="C9" s="24" t="s">
        <v>228</v>
      </c>
      <c r="D9" s="25" t="s">
        <v>238</v>
      </c>
    </row>
    <row r="10" spans="1:4" ht="42" customHeight="1" x14ac:dyDescent="0.25">
      <c r="A10" s="1" t="s">
        <v>239</v>
      </c>
      <c r="B10" s="26" t="s">
        <v>240</v>
      </c>
      <c r="C10" s="27" t="s">
        <v>225</v>
      </c>
      <c r="D10" s="28" t="s">
        <v>241</v>
      </c>
    </row>
    <row r="11" spans="1:4" ht="42" customHeight="1" x14ac:dyDescent="0.25">
      <c r="A11" s="1" t="s">
        <v>242</v>
      </c>
      <c r="B11" s="23" t="s">
        <v>243</v>
      </c>
      <c r="C11" s="24" t="s">
        <v>225</v>
      </c>
      <c r="D11" s="25" t="s">
        <v>244</v>
      </c>
    </row>
    <row r="12" spans="1:4" ht="42" customHeight="1" x14ac:dyDescent="0.25">
      <c r="A12" s="1" t="s">
        <v>245</v>
      </c>
      <c r="B12" s="26" t="s">
        <v>246</v>
      </c>
      <c r="C12" s="27" t="s">
        <v>247</v>
      </c>
      <c r="D12" s="28" t="s">
        <v>248</v>
      </c>
    </row>
    <row r="13" spans="1:4" ht="42" customHeight="1" x14ac:dyDescent="0.25">
      <c r="A13" s="1" t="s">
        <v>249</v>
      </c>
      <c r="B13" s="23" t="s">
        <v>250</v>
      </c>
      <c r="C13" s="24" t="s">
        <v>247</v>
      </c>
      <c r="D13" s="25" t="s">
        <v>251</v>
      </c>
    </row>
    <row r="14" spans="1:4" ht="42" customHeight="1" x14ac:dyDescent="0.25">
      <c r="A14" s="1" t="s">
        <v>252</v>
      </c>
      <c r="B14" s="26" t="s">
        <v>253</v>
      </c>
      <c r="C14" s="27" t="s">
        <v>247</v>
      </c>
      <c r="D14" s="28" t="s">
        <v>254</v>
      </c>
    </row>
    <row r="15" spans="1:4" ht="42" customHeight="1" x14ac:dyDescent="0.25">
      <c r="A15" s="1" t="s">
        <v>255</v>
      </c>
      <c r="B15" s="23" t="s">
        <v>256</v>
      </c>
      <c r="C15" s="24" t="s">
        <v>247</v>
      </c>
      <c r="D15" s="25" t="s">
        <v>257</v>
      </c>
    </row>
    <row r="16" spans="1:4" ht="42" customHeight="1" x14ac:dyDescent="0.25">
      <c r="A16" s="1" t="s">
        <v>258</v>
      </c>
      <c r="B16" s="26" t="s">
        <v>259</v>
      </c>
      <c r="C16" s="27" t="s">
        <v>247</v>
      </c>
      <c r="D16" s="28" t="s">
        <v>260</v>
      </c>
    </row>
    <row r="17" spans="1:4" ht="42" customHeight="1" x14ac:dyDescent="0.25">
      <c r="A17" s="1" t="s">
        <v>261</v>
      </c>
      <c r="B17" s="23" t="s">
        <v>262</v>
      </c>
      <c r="C17" s="24" t="s">
        <v>247</v>
      </c>
      <c r="D17" s="25" t="s">
        <v>263</v>
      </c>
    </row>
    <row r="18" spans="1:4" ht="42" customHeight="1" x14ac:dyDescent="0.25">
      <c r="A18" s="1" t="s">
        <v>264</v>
      </c>
      <c r="B18" s="26" t="s">
        <v>265</v>
      </c>
      <c r="C18" s="27" t="s">
        <v>247</v>
      </c>
      <c r="D18" s="28" t="s">
        <v>266</v>
      </c>
    </row>
    <row r="19" spans="1:4" ht="42" customHeight="1" x14ac:dyDescent="0.25">
      <c r="A19" s="1" t="s">
        <v>267</v>
      </c>
      <c r="B19" s="23" t="s">
        <v>268</v>
      </c>
      <c r="C19" s="24" t="s">
        <v>247</v>
      </c>
      <c r="D19" s="25" t="s">
        <v>269</v>
      </c>
    </row>
    <row r="20" spans="1:4" ht="42" customHeight="1" x14ac:dyDescent="0.25">
      <c r="A20" s="1" t="s">
        <v>270</v>
      </c>
      <c r="B20" s="26" t="s">
        <v>271</v>
      </c>
      <c r="C20" s="27" t="s">
        <v>247</v>
      </c>
      <c r="D20" s="28" t="s">
        <v>272</v>
      </c>
    </row>
    <row r="21" spans="1:4" ht="42" customHeight="1" x14ac:dyDescent="0.25">
      <c r="A21" s="1" t="s">
        <v>273</v>
      </c>
      <c r="B21" s="23" t="s">
        <v>274</v>
      </c>
      <c r="C21" s="24" t="s">
        <v>275</v>
      </c>
      <c r="D21" s="25" t="s">
        <v>276</v>
      </c>
    </row>
    <row r="22" spans="1:4" ht="42" customHeight="1" x14ac:dyDescent="0.25">
      <c r="A22" s="1" t="s">
        <v>277</v>
      </c>
      <c r="B22" s="26" t="s">
        <v>278</v>
      </c>
      <c r="C22" s="27" t="s">
        <v>275</v>
      </c>
      <c r="D22" s="28" t="s">
        <v>279</v>
      </c>
    </row>
    <row r="23" spans="1:4" ht="7.5" customHeight="1" x14ac:dyDescent="0.25"/>
    <row r="24" spans="1:4" ht="21.75" customHeight="1" x14ac:dyDescent="0.25">
      <c r="A24" s="86" t="s">
        <v>280</v>
      </c>
      <c r="B24" s="86"/>
      <c r="C24" s="86"/>
      <c r="D24" s="86"/>
    </row>
    <row r="25" spans="1:4" ht="15" customHeight="1" x14ac:dyDescent="0.25">
      <c r="A25" s="22" t="s">
        <v>228</v>
      </c>
      <c r="B25" s="22" t="s">
        <v>281</v>
      </c>
      <c r="C25" s="22" t="s">
        <v>282</v>
      </c>
      <c r="D25" s="22" t="s">
        <v>283</v>
      </c>
    </row>
    <row r="26" spans="1:4" ht="36" customHeight="1" x14ac:dyDescent="0.25">
      <c r="A26" s="29" t="s">
        <v>53</v>
      </c>
      <c r="B26" s="27" t="s">
        <v>26</v>
      </c>
      <c r="C26" s="28" t="s">
        <v>284</v>
      </c>
      <c r="D26" s="30" t="s">
        <v>285</v>
      </c>
    </row>
    <row r="27" spans="1:4" ht="36" customHeight="1" x14ac:dyDescent="0.25">
      <c r="A27" s="29" t="s">
        <v>104</v>
      </c>
      <c r="B27" s="24" t="s">
        <v>26</v>
      </c>
      <c r="C27" s="25" t="s">
        <v>286</v>
      </c>
      <c r="D27" s="31" t="s">
        <v>287</v>
      </c>
    </row>
    <row r="28" spans="1:4" ht="36" customHeight="1" x14ac:dyDescent="0.25">
      <c r="A28" s="29" t="s">
        <v>155</v>
      </c>
      <c r="B28" s="27" t="s">
        <v>26</v>
      </c>
      <c r="C28" s="28" t="s">
        <v>157</v>
      </c>
      <c r="D28" s="30" t="s">
        <v>288</v>
      </c>
    </row>
    <row r="29" spans="1:4" ht="36" customHeight="1" x14ac:dyDescent="0.25">
      <c r="A29" s="29" t="s">
        <v>122</v>
      </c>
      <c r="B29" s="24" t="s">
        <v>26</v>
      </c>
      <c r="C29" s="25" t="s">
        <v>289</v>
      </c>
      <c r="D29" s="31" t="s">
        <v>290</v>
      </c>
    </row>
    <row r="30" spans="1:4" ht="36" customHeight="1" x14ac:dyDescent="0.25">
      <c r="A30" s="29" t="s">
        <v>45</v>
      </c>
      <c r="B30" s="27" t="s">
        <v>26</v>
      </c>
      <c r="C30" s="28" t="s">
        <v>50</v>
      </c>
      <c r="D30" s="30" t="s">
        <v>291</v>
      </c>
    </row>
    <row r="31" spans="1:4" ht="36" customHeight="1" x14ac:dyDescent="0.25">
      <c r="A31" s="29" t="s">
        <v>63</v>
      </c>
      <c r="B31" s="24" t="s">
        <v>26</v>
      </c>
      <c r="C31" s="25" t="s">
        <v>292</v>
      </c>
      <c r="D31" s="31" t="s">
        <v>293</v>
      </c>
    </row>
    <row r="32" spans="1:4" ht="36" customHeight="1" x14ac:dyDescent="0.25">
      <c r="A32" s="29" t="s">
        <v>126</v>
      </c>
      <c r="B32" s="27" t="s">
        <v>26</v>
      </c>
      <c r="C32" s="28" t="s">
        <v>294</v>
      </c>
      <c r="D32" s="30" t="s">
        <v>295</v>
      </c>
    </row>
    <row r="33" spans="1:4" ht="36" customHeight="1" x14ac:dyDescent="0.25">
      <c r="A33" s="29" t="s">
        <v>77</v>
      </c>
      <c r="B33" s="24" t="s">
        <v>26</v>
      </c>
      <c r="C33" s="25" t="s">
        <v>78</v>
      </c>
      <c r="D33" s="31" t="s">
        <v>296</v>
      </c>
    </row>
    <row r="34" spans="1:4" ht="36" customHeight="1" x14ac:dyDescent="0.25">
      <c r="A34" s="29" t="s">
        <v>54</v>
      </c>
      <c r="B34" s="27" t="s">
        <v>230</v>
      </c>
      <c r="C34" s="28" t="s">
        <v>297</v>
      </c>
      <c r="D34" s="30" t="s">
        <v>298</v>
      </c>
    </row>
    <row r="35" spans="1:4" ht="36" customHeight="1" x14ac:dyDescent="0.25">
      <c r="A35" s="29" t="s">
        <v>46</v>
      </c>
      <c r="B35" s="24" t="s">
        <v>230</v>
      </c>
      <c r="C35" s="25" t="s">
        <v>299</v>
      </c>
      <c r="D35" s="31" t="s">
        <v>300</v>
      </c>
    </row>
    <row r="36" spans="1:4" ht="36" customHeight="1" x14ac:dyDescent="0.25">
      <c r="A36" s="29" t="s">
        <v>80</v>
      </c>
      <c r="B36" s="27" t="s">
        <v>230</v>
      </c>
      <c r="C36" s="28" t="s">
        <v>301</v>
      </c>
      <c r="D36" s="30" t="s">
        <v>302</v>
      </c>
    </row>
    <row r="37" spans="1:4" ht="36" customHeight="1" x14ac:dyDescent="0.25">
      <c r="A37" s="29" t="s">
        <v>127</v>
      </c>
      <c r="B37" s="24" t="s">
        <v>230</v>
      </c>
      <c r="C37" s="25" t="s">
        <v>303</v>
      </c>
      <c r="D37" s="31" t="s">
        <v>304</v>
      </c>
    </row>
    <row r="38" spans="1:4" ht="36" customHeight="1" x14ac:dyDescent="0.25">
      <c r="A38" s="29" t="s">
        <v>194</v>
      </c>
      <c r="B38" s="27" t="s">
        <v>230</v>
      </c>
      <c r="C38" s="28" t="s">
        <v>305</v>
      </c>
      <c r="D38" s="30" t="s">
        <v>306</v>
      </c>
    </row>
    <row r="39" spans="1:4" ht="36" customHeight="1" x14ac:dyDescent="0.25">
      <c r="A39" s="29" t="s">
        <v>47</v>
      </c>
      <c r="B39" s="24" t="s">
        <v>233</v>
      </c>
      <c r="C39" s="25" t="s">
        <v>307</v>
      </c>
      <c r="D39" s="31" t="s">
        <v>308</v>
      </c>
    </row>
    <row r="40" spans="1:4" ht="36" customHeight="1" x14ac:dyDescent="0.25">
      <c r="A40" s="29" t="s">
        <v>55</v>
      </c>
      <c r="B40" s="27" t="s">
        <v>233</v>
      </c>
      <c r="C40" s="28" t="s">
        <v>309</v>
      </c>
      <c r="D40" s="30" t="s">
        <v>310</v>
      </c>
    </row>
    <row r="41" spans="1:4" ht="36" customHeight="1" x14ac:dyDescent="0.25">
      <c r="A41" s="29" t="s">
        <v>64</v>
      </c>
      <c r="B41" s="24" t="s">
        <v>233</v>
      </c>
      <c r="C41" s="25" t="s">
        <v>311</v>
      </c>
      <c r="D41" s="31" t="s">
        <v>312</v>
      </c>
    </row>
  </sheetData>
  <mergeCells count="3">
    <mergeCell ref="A1:D1"/>
    <mergeCell ref="A3:D3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3"/>
  <sheetViews>
    <sheetView showGridLines="0" zoomScaleNormal="100" workbookViewId="0">
      <pane ySplit="4" topLeftCell="A50" activePane="bottomLeft" state="frozen"/>
      <selection pane="bottomLeft" activeCell="E100" sqref="E100"/>
    </sheetView>
  </sheetViews>
  <sheetFormatPr defaultColWidth="8.7109375" defaultRowHeight="15" x14ac:dyDescent="0.25"/>
  <cols>
    <col min="1" max="1" width="28" customWidth="1"/>
    <col min="2" max="2" width="13.42578125" bestFit="1" customWidth="1"/>
    <col min="3" max="3" width="8" customWidth="1"/>
    <col min="4" max="4" width="10" customWidth="1"/>
    <col min="5" max="5" width="12" customWidth="1"/>
    <col min="6" max="6" width="16" customWidth="1"/>
    <col min="7" max="7" width="5" customWidth="1"/>
    <col min="8" max="8" width="18" bestFit="1" customWidth="1"/>
    <col min="9" max="9" width="16" customWidth="1"/>
    <col min="10" max="12" width="14" customWidth="1"/>
    <col min="13" max="13" width="18.140625" bestFit="1" customWidth="1"/>
    <col min="14" max="14" width="16" customWidth="1"/>
    <col min="15" max="15" width="9" customWidth="1"/>
    <col min="16" max="16" width="8" customWidth="1"/>
    <col min="17" max="17" width="22" customWidth="1"/>
    <col min="18" max="18" width="18" customWidth="1"/>
    <col min="19" max="19" width="12" customWidth="1"/>
    <col min="20" max="20" width="9" customWidth="1"/>
  </cols>
  <sheetData>
    <row r="1" spans="1:21" ht="31.5" customHeight="1" x14ac:dyDescent="0.25">
      <c r="A1" s="84" t="s">
        <v>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spans="1:21" ht="21.75" customHeight="1" x14ac:dyDescent="0.25">
      <c r="A2" s="94" t="s">
        <v>24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1" ht="3.75" customHeight="1" x14ac:dyDescent="0.25"/>
    <row r="4" spans="1:21" ht="30" customHeight="1" x14ac:dyDescent="0.25">
      <c r="A4" s="3" t="s">
        <v>25</v>
      </c>
      <c r="B4" s="3"/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</row>
    <row r="5" spans="1:21" ht="15.75" customHeight="1" x14ac:dyDescent="0.25">
      <c r="A5" s="4" t="s">
        <v>44</v>
      </c>
      <c r="B5" s="4" t="str">
        <f>IF(H5&gt;= 100000000, "Grande", "Média/Pequena" )</f>
        <v>Grande</v>
      </c>
      <c r="C5" s="5" t="s">
        <v>45</v>
      </c>
      <c r="D5" s="5" t="s">
        <v>46</v>
      </c>
      <c r="E5" s="5" t="s">
        <v>47</v>
      </c>
      <c r="F5" s="4" t="s">
        <v>48</v>
      </c>
      <c r="G5" s="5" t="s">
        <v>49</v>
      </c>
      <c r="H5" s="6">
        <v>905220074</v>
      </c>
      <c r="I5" s="6">
        <v>337101530</v>
      </c>
      <c r="J5" s="6">
        <v>163600304</v>
      </c>
      <c r="K5" s="6">
        <v>736690922</v>
      </c>
      <c r="L5" s="6">
        <v>596672518</v>
      </c>
      <c r="M5" s="6">
        <v>168529152</v>
      </c>
      <c r="N5" s="6">
        <v>3897466</v>
      </c>
      <c r="O5" s="7">
        <v>5</v>
      </c>
      <c r="P5" s="7"/>
      <c r="Q5" s="8" t="s">
        <v>50</v>
      </c>
      <c r="R5" s="8" t="s">
        <v>51</v>
      </c>
      <c r="S5" s="9">
        <f t="shared" ref="S5:S36" si="0">I5/H5</f>
        <v>0.37239732047745111</v>
      </c>
      <c r="T5" s="10">
        <f t="shared" ref="T5:T36" si="1">N5/M5</f>
        <v>2.3126360951486898E-2</v>
      </c>
      <c r="U5" t="str" cm="1">
        <f t="array" ref="U5:U104">_xlfn.IFS(T5:T104&gt;15%,"Excelente",T5:T104&gt;8%,"Bom",T5:T104&gt;0%,"Fraco",T5:T104&lt;=0%,"Prejuizo")</f>
        <v>Fraco</v>
      </c>
    </row>
    <row r="6" spans="1:21" ht="15.75" customHeight="1" x14ac:dyDescent="0.25">
      <c r="A6" s="4" t="s">
        <v>52</v>
      </c>
      <c r="B6" s="4" t="str">
        <f t="shared" ref="B6:B69" si="2">IF(H6&gt;= 100000000, "Grande", "Média/Pequena" )</f>
        <v>Grande</v>
      </c>
      <c r="C6" s="11" t="s">
        <v>53</v>
      </c>
      <c r="D6" s="11" t="s">
        <v>54</v>
      </c>
      <c r="E6" s="11" t="s">
        <v>55</v>
      </c>
      <c r="F6" s="12" t="s">
        <v>48</v>
      </c>
      <c r="G6" s="11" t="s">
        <v>49</v>
      </c>
      <c r="H6" s="13">
        <v>665445894</v>
      </c>
      <c r="I6" s="13">
        <v>168426944</v>
      </c>
      <c r="J6" s="13">
        <v>205485096</v>
      </c>
      <c r="K6" s="13">
        <v>597330797</v>
      </c>
      <c r="L6" s="13">
        <v>460048347</v>
      </c>
      <c r="M6" s="13">
        <v>68115098</v>
      </c>
      <c r="N6" s="13">
        <v>4337377</v>
      </c>
      <c r="O6" s="14">
        <v>66</v>
      </c>
      <c r="P6" s="14"/>
      <c r="Q6" s="15" t="s">
        <v>56</v>
      </c>
      <c r="R6" s="15" t="s">
        <v>57</v>
      </c>
      <c r="S6" s="16">
        <f t="shared" si="0"/>
        <v>0.25310388946512907</v>
      </c>
      <c r="T6" s="17">
        <f t="shared" si="1"/>
        <v>6.3677174772617959E-2</v>
      </c>
      <c r="U6" t="str">
        <v>Fraco</v>
      </c>
    </row>
    <row r="7" spans="1:21" ht="15.75" customHeight="1" x14ac:dyDescent="0.25">
      <c r="A7" s="4" t="s">
        <v>58</v>
      </c>
      <c r="B7" s="4" t="str">
        <f t="shared" si="2"/>
        <v>Grande</v>
      </c>
      <c r="C7" s="5" t="s">
        <v>53</v>
      </c>
      <c r="D7" s="5" t="s">
        <v>46</v>
      </c>
      <c r="E7" s="5" t="s">
        <v>55</v>
      </c>
      <c r="F7" s="4" t="s">
        <v>48</v>
      </c>
      <c r="G7" s="5" t="s">
        <v>49</v>
      </c>
      <c r="H7" s="6">
        <v>307101659</v>
      </c>
      <c r="I7" s="6">
        <v>33329722</v>
      </c>
      <c r="J7" s="6">
        <v>109000669</v>
      </c>
      <c r="K7" s="6">
        <v>294990308</v>
      </c>
      <c r="L7" s="6">
        <v>219008553</v>
      </c>
      <c r="M7" s="6">
        <v>12111351</v>
      </c>
      <c r="N7" s="6">
        <v>205279</v>
      </c>
      <c r="O7" s="7">
        <v>11</v>
      </c>
      <c r="P7" s="7"/>
      <c r="Q7" s="8" t="s">
        <v>56</v>
      </c>
      <c r="R7" s="8" t="s">
        <v>57</v>
      </c>
      <c r="S7" s="9">
        <f t="shared" si="0"/>
        <v>0.10852993145178678</v>
      </c>
      <c r="T7" s="10">
        <f t="shared" si="1"/>
        <v>1.6949306481167957E-2</v>
      </c>
      <c r="U7" t="str">
        <v>Fraco</v>
      </c>
    </row>
    <row r="8" spans="1:21" ht="15.75" customHeight="1" x14ac:dyDescent="0.25">
      <c r="A8" s="4" t="s">
        <v>59</v>
      </c>
      <c r="B8" s="4" t="str">
        <f t="shared" si="2"/>
        <v>Grande</v>
      </c>
      <c r="C8" s="11" t="s">
        <v>53</v>
      </c>
      <c r="D8" s="11" t="s">
        <v>46</v>
      </c>
      <c r="E8" s="11" t="s">
        <v>55</v>
      </c>
      <c r="F8" s="12" t="s">
        <v>60</v>
      </c>
      <c r="G8" s="11" t="s">
        <v>61</v>
      </c>
      <c r="H8" s="13">
        <v>271094929</v>
      </c>
      <c r="I8" s="13">
        <v>132708479</v>
      </c>
      <c r="J8" s="13">
        <v>69307857</v>
      </c>
      <c r="K8" s="13">
        <v>252005262</v>
      </c>
      <c r="L8" s="13">
        <v>207723576</v>
      </c>
      <c r="M8" s="13">
        <v>19089667</v>
      </c>
      <c r="N8" s="13">
        <v>1128996</v>
      </c>
      <c r="O8" s="14">
        <v>188</v>
      </c>
      <c r="P8" s="14">
        <v>3</v>
      </c>
      <c r="Q8" s="15" t="s">
        <v>56</v>
      </c>
      <c r="R8" s="15" t="s">
        <v>57</v>
      </c>
      <c r="S8" s="16">
        <f t="shared" si="0"/>
        <v>0.48952770710071086</v>
      </c>
      <c r="T8" s="17">
        <f t="shared" si="1"/>
        <v>5.9141733588123878E-2</v>
      </c>
      <c r="U8" t="str">
        <v>Fraco</v>
      </c>
    </row>
    <row r="9" spans="1:21" ht="15.75" customHeight="1" x14ac:dyDescent="0.25">
      <c r="A9" s="4" t="s">
        <v>62</v>
      </c>
      <c r="B9" s="4" t="str">
        <f t="shared" si="2"/>
        <v>Grande</v>
      </c>
      <c r="C9" s="5" t="s">
        <v>63</v>
      </c>
      <c r="D9" s="5" t="s">
        <v>46</v>
      </c>
      <c r="E9" s="5" t="s">
        <v>64</v>
      </c>
      <c r="F9" s="4" t="s">
        <v>60</v>
      </c>
      <c r="G9" s="5" t="s">
        <v>61</v>
      </c>
      <c r="H9" s="6">
        <v>219449385</v>
      </c>
      <c r="I9" s="6">
        <v>61661647</v>
      </c>
      <c r="J9" s="6">
        <v>65169820</v>
      </c>
      <c r="K9" s="6">
        <v>207181651</v>
      </c>
      <c r="L9" s="6">
        <v>186790022</v>
      </c>
      <c r="M9" s="6">
        <v>12267733</v>
      </c>
      <c r="N9" s="6">
        <v>2198336</v>
      </c>
      <c r="O9" s="7">
        <v>4</v>
      </c>
      <c r="P9" s="7"/>
      <c r="Q9" s="8" t="s">
        <v>65</v>
      </c>
      <c r="R9" s="8" t="s">
        <v>66</v>
      </c>
      <c r="S9" s="9">
        <f t="shared" si="0"/>
        <v>0.28098345775724093</v>
      </c>
      <c r="T9" s="10">
        <f t="shared" si="1"/>
        <v>0.1791965964697797</v>
      </c>
      <c r="U9" t="str">
        <v>Excelente</v>
      </c>
    </row>
    <row r="10" spans="1:21" ht="15.75" customHeight="1" x14ac:dyDescent="0.25">
      <c r="A10" s="4" t="s">
        <v>67</v>
      </c>
      <c r="B10" s="4" t="str">
        <f t="shared" si="2"/>
        <v>Grande</v>
      </c>
      <c r="C10" s="11" t="s">
        <v>53</v>
      </c>
      <c r="D10" s="11" t="s">
        <v>46</v>
      </c>
      <c r="E10" s="11" t="s">
        <v>55</v>
      </c>
      <c r="F10" s="12" t="s">
        <v>68</v>
      </c>
      <c r="G10" s="11" t="s">
        <v>69</v>
      </c>
      <c r="H10" s="13">
        <v>218490737</v>
      </c>
      <c r="I10" s="13">
        <v>42609275</v>
      </c>
      <c r="J10" s="13">
        <v>57996229</v>
      </c>
      <c r="K10" s="13">
        <v>213011964</v>
      </c>
      <c r="L10" s="13">
        <v>188480581</v>
      </c>
      <c r="M10" s="13">
        <v>5478773</v>
      </c>
      <c r="N10" s="13">
        <v>15778</v>
      </c>
      <c r="O10" s="14">
        <v>6</v>
      </c>
      <c r="P10" s="14"/>
      <c r="Q10" s="15" t="s">
        <v>56</v>
      </c>
      <c r="R10" s="15" t="s">
        <v>57</v>
      </c>
      <c r="S10" s="16">
        <f t="shared" si="0"/>
        <v>0.19501639101524015</v>
      </c>
      <c r="T10" s="17">
        <f t="shared" si="1"/>
        <v>2.8798418916060218E-3</v>
      </c>
      <c r="U10" t="str">
        <v>Fraco</v>
      </c>
    </row>
    <row r="11" spans="1:21" ht="15.75" customHeight="1" x14ac:dyDescent="0.25">
      <c r="A11" s="4" t="s">
        <v>70</v>
      </c>
      <c r="B11" s="4" t="str">
        <f t="shared" si="2"/>
        <v>Grande</v>
      </c>
      <c r="C11" s="5" t="s">
        <v>53</v>
      </c>
      <c r="D11" s="5" t="s">
        <v>46</v>
      </c>
      <c r="E11" s="5" t="s">
        <v>55</v>
      </c>
      <c r="F11" s="4" t="s">
        <v>71</v>
      </c>
      <c r="G11" s="5" t="s">
        <v>72</v>
      </c>
      <c r="H11" s="6">
        <v>201784998</v>
      </c>
      <c r="I11" s="6">
        <v>38031688</v>
      </c>
      <c r="J11" s="6">
        <v>41539239</v>
      </c>
      <c r="K11" s="6">
        <v>196149070</v>
      </c>
      <c r="L11" s="6">
        <v>172714942</v>
      </c>
      <c r="M11" s="6">
        <v>5635928</v>
      </c>
      <c r="N11" s="6">
        <v>135356</v>
      </c>
      <c r="O11" s="7">
        <v>7</v>
      </c>
      <c r="P11" s="7"/>
      <c r="Q11" s="8" t="s">
        <v>56</v>
      </c>
      <c r="R11" s="8" t="s">
        <v>57</v>
      </c>
      <c r="S11" s="9">
        <f t="shared" si="0"/>
        <v>0.18847629098769772</v>
      </c>
      <c r="T11" s="10">
        <f t="shared" si="1"/>
        <v>2.4016630446662909E-2</v>
      </c>
      <c r="U11" t="str">
        <v>Fraco</v>
      </c>
    </row>
    <row r="12" spans="1:21" ht="15.75" customHeight="1" x14ac:dyDescent="0.25">
      <c r="A12" s="4" t="s">
        <v>73</v>
      </c>
      <c r="B12" s="4" t="str">
        <f t="shared" si="2"/>
        <v>Grande</v>
      </c>
      <c r="C12" s="11" t="s">
        <v>53</v>
      </c>
      <c r="D12" s="11" t="s">
        <v>46</v>
      </c>
      <c r="E12" s="11" t="s">
        <v>64</v>
      </c>
      <c r="F12" s="12" t="s">
        <v>60</v>
      </c>
      <c r="G12" s="11" t="s">
        <v>61</v>
      </c>
      <c r="H12" s="13">
        <v>200077288</v>
      </c>
      <c r="I12" s="13">
        <v>31540925</v>
      </c>
      <c r="J12" s="13">
        <v>50921410</v>
      </c>
      <c r="K12" s="13">
        <v>185601125</v>
      </c>
      <c r="L12" s="13">
        <v>153215374</v>
      </c>
      <c r="M12" s="13">
        <v>14476163</v>
      </c>
      <c r="N12" s="13">
        <v>900878</v>
      </c>
      <c r="O12" s="14">
        <v>53</v>
      </c>
      <c r="P12" s="14">
        <v>8</v>
      </c>
      <c r="Q12" s="15" t="s">
        <v>56</v>
      </c>
      <c r="R12" s="15" t="s">
        <v>66</v>
      </c>
      <c r="S12" s="16">
        <f t="shared" si="0"/>
        <v>0.15764370516657542</v>
      </c>
      <c r="T12" s="17">
        <f t="shared" si="1"/>
        <v>6.2231822065004383E-2</v>
      </c>
      <c r="U12" t="str">
        <v>Fraco</v>
      </c>
    </row>
    <row r="13" spans="1:21" ht="15.75" customHeight="1" x14ac:dyDescent="0.25">
      <c r="A13" s="4" t="s">
        <v>74</v>
      </c>
      <c r="B13" s="4" t="str">
        <f t="shared" si="2"/>
        <v>Grande</v>
      </c>
      <c r="C13" s="5" t="s">
        <v>53</v>
      </c>
      <c r="D13" s="5" t="s">
        <v>46</v>
      </c>
      <c r="E13" s="5" t="s">
        <v>47</v>
      </c>
      <c r="F13" s="4" t="s">
        <v>68</v>
      </c>
      <c r="G13" s="5" t="s">
        <v>69</v>
      </c>
      <c r="H13" s="6">
        <v>158217683</v>
      </c>
      <c r="I13" s="6">
        <v>60523673</v>
      </c>
      <c r="J13" s="6">
        <v>66985961</v>
      </c>
      <c r="K13" s="6">
        <v>147341800</v>
      </c>
      <c r="L13" s="6">
        <v>135080299</v>
      </c>
      <c r="M13" s="6">
        <v>10875884</v>
      </c>
      <c r="N13" s="6">
        <v>328616</v>
      </c>
      <c r="O13" s="7">
        <v>514</v>
      </c>
      <c r="P13" s="7">
        <v>43</v>
      </c>
      <c r="Q13" s="8" t="s">
        <v>56</v>
      </c>
      <c r="R13" s="8" t="s">
        <v>51</v>
      </c>
      <c r="S13" s="9">
        <f t="shared" si="0"/>
        <v>0.38253418867219791</v>
      </c>
      <c r="T13" s="10">
        <f t="shared" si="1"/>
        <v>3.0215107112212671E-2</v>
      </c>
      <c r="U13" t="str">
        <v>Fraco</v>
      </c>
    </row>
    <row r="14" spans="1:21" ht="15.75" customHeight="1" x14ac:dyDescent="0.25">
      <c r="A14" s="4" t="s">
        <v>75</v>
      </c>
      <c r="B14" s="4" t="str">
        <f t="shared" si="2"/>
        <v>Grande</v>
      </c>
      <c r="C14" s="11" t="s">
        <v>53</v>
      </c>
      <c r="D14" s="11" t="s">
        <v>46</v>
      </c>
      <c r="E14" s="11" t="s">
        <v>55</v>
      </c>
      <c r="F14" s="12" t="s">
        <v>60</v>
      </c>
      <c r="G14" s="11" t="s">
        <v>61</v>
      </c>
      <c r="H14" s="13">
        <v>149358844</v>
      </c>
      <c r="I14" s="13">
        <v>73288335</v>
      </c>
      <c r="J14" s="13">
        <v>37221208</v>
      </c>
      <c r="K14" s="13">
        <v>136468541</v>
      </c>
      <c r="L14" s="13">
        <v>110051230</v>
      </c>
      <c r="M14" s="13">
        <v>12890303</v>
      </c>
      <c r="N14" s="13">
        <v>457848</v>
      </c>
      <c r="O14" s="14">
        <v>7</v>
      </c>
      <c r="P14" s="14">
        <v>3</v>
      </c>
      <c r="Q14" s="15" t="s">
        <v>56</v>
      </c>
      <c r="R14" s="15" t="s">
        <v>57</v>
      </c>
      <c r="S14" s="16">
        <f t="shared" si="0"/>
        <v>0.49068627633459722</v>
      </c>
      <c r="T14" s="17">
        <f t="shared" si="1"/>
        <v>3.5518792692460374E-2</v>
      </c>
      <c r="U14" t="str">
        <v>Fraco</v>
      </c>
    </row>
    <row r="15" spans="1:21" ht="15.75" customHeight="1" x14ac:dyDescent="0.25">
      <c r="A15" s="4" t="s">
        <v>76</v>
      </c>
      <c r="B15" s="4" t="str">
        <f t="shared" si="2"/>
        <v>Grande</v>
      </c>
      <c r="C15" s="5" t="s">
        <v>77</v>
      </c>
      <c r="D15" s="5" t="s">
        <v>54</v>
      </c>
      <c r="E15" s="5" t="s">
        <v>55</v>
      </c>
      <c r="F15" s="4" t="s">
        <v>60</v>
      </c>
      <c r="G15" s="5" t="s">
        <v>61</v>
      </c>
      <c r="H15" s="6">
        <v>137122969</v>
      </c>
      <c r="I15" s="6"/>
      <c r="J15" s="6">
        <v>8287550</v>
      </c>
      <c r="K15" s="6">
        <v>98343078</v>
      </c>
      <c r="L15" s="6">
        <v>1478</v>
      </c>
      <c r="M15" s="6">
        <v>38779891</v>
      </c>
      <c r="N15" s="6">
        <v>917240</v>
      </c>
      <c r="O15" s="7">
        <v>1</v>
      </c>
      <c r="P15" s="7"/>
      <c r="Q15" s="8" t="s">
        <v>78</v>
      </c>
      <c r="R15" s="8" t="s">
        <v>57</v>
      </c>
      <c r="S15" s="9">
        <f t="shared" si="0"/>
        <v>0</v>
      </c>
      <c r="T15" s="10">
        <f t="shared" si="1"/>
        <v>2.3652464623998042E-2</v>
      </c>
      <c r="U15" t="str">
        <v>Fraco</v>
      </c>
    </row>
    <row r="16" spans="1:21" ht="15.75" customHeight="1" x14ac:dyDescent="0.25">
      <c r="A16" s="4" t="s">
        <v>79</v>
      </c>
      <c r="B16" s="4" t="str">
        <f t="shared" si="2"/>
        <v>Grande</v>
      </c>
      <c r="C16" s="11" t="s">
        <v>53</v>
      </c>
      <c r="D16" s="11" t="s">
        <v>80</v>
      </c>
      <c r="E16" s="11" t="s">
        <v>55</v>
      </c>
      <c r="F16" s="12" t="s">
        <v>60</v>
      </c>
      <c r="G16" s="11" t="s">
        <v>61</v>
      </c>
      <c r="H16" s="13">
        <v>134136879</v>
      </c>
      <c r="I16" s="13">
        <v>81749998</v>
      </c>
      <c r="J16" s="13">
        <v>34316499</v>
      </c>
      <c r="K16" s="13">
        <v>128508996</v>
      </c>
      <c r="L16" s="13">
        <v>93233153</v>
      </c>
      <c r="M16" s="13">
        <v>5627883</v>
      </c>
      <c r="N16" s="13">
        <v>634846</v>
      </c>
      <c r="O16" s="14">
        <v>6</v>
      </c>
      <c r="P16" s="14"/>
      <c r="Q16" s="15" t="s">
        <v>56</v>
      </c>
      <c r="R16" s="15" t="s">
        <v>57</v>
      </c>
      <c r="S16" s="16">
        <f t="shared" si="0"/>
        <v>0.60945206575143296</v>
      </c>
      <c r="T16" s="17">
        <f t="shared" si="1"/>
        <v>0.11280369545706619</v>
      </c>
      <c r="U16" t="str">
        <v>Bom</v>
      </c>
    </row>
    <row r="17" spans="1:21" ht="15.75" customHeight="1" x14ac:dyDescent="0.25">
      <c r="A17" s="4" t="s">
        <v>81</v>
      </c>
      <c r="B17" s="4" t="str">
        <f t="shared" si="2"/>
        <v>Grande</v>
      </c>
      <c r="C17" s="5" t="s">
        <v>77</v>
      </c>
      <c r="D17" s="5" t="s">
        <v>82</v>
      </c>
      <c r="E17" s="5" t="s">
        <v>55</v>
      </c>
      <c r="F17" s="4" t="s">
        <v>83</v>
      </c>
      <c r="G17" s="5" t="s">
        <v>61</v>
      </c>
      <c r="H17" s="6">
        <v>114886546</v>
      </c>
      <c r="I17" s="6"/>
      <c r="J17" s="6">
        <v>9277619</v>
      </c>
      <c r="K17" s="6">
        <v>104649265</v>
      </c>
      <c r="L17" s="6">
        <v>10716782</v>
      </c>
      <c r="M17" s="6">
        <v>10237281</v>
      </c>
      <c r="N17" s="6">
        <v>343972</v>
      </c>
      <c r="O17" s="7">
        <v>1</v>
      </c>
      <c r="P17" s="7"/>
      <c r="Q17" s="8" t="s">
        <v>78</v>
      </c>
      <c r="R17" s="8" t="s">
        <v>57</v>
      </c>
      <c r="S17" s="9">
        <f t="shared" si="0"/>
        <v>0</v>
      </c>
      <c r="T17" s="10">
        <f t="shared" si="1"/>
        <v>3.3599937327108635E-2</v>
      </c>
      <c r="U17" t="str">
        <v>Fraco</v>
      </c>
    </row>
    <row r="18" spans="1:21" ht="15.75" customHeight="1" x14ac:dyDescent="0.25">
      <c r="A18" s="4" t="s">
        <v>84</v>
      </c>
      <c r="B18" s="4" t="str">
        <f t="shared" si="2"/>
        <v>Grande</v>
      </c>
      <c r="C18" s="11" t="s">
        <v>53</v>
      </c>
      <c r="D18" s="11" t="s">
        <v>80</v>
      </c>
      <c r="E18" s="11" t="s">
        <v>64</v>
      </c>
      <c r="F18" s="12" t="s">
        <v>60</v>
      </c>
      <c r="G18" s="11" t="s">
        <v>61</v>
      </c>
      <c r="H18" s="13">
        <v>108602030</v>
      </c>
      <c r="I18" s="13">
        <v>2123945</v>
      </c>
      <c r="J18" s="13">
        <v>46332669</v>
      </c>
      <c r="K18" s="13">
        <v>95483657</v>
      </c>
      <c r="L18" s="13">
        <v>80007018</v>
      </c>
      <c r="M18" s="13">
        <v>13118373</v>
      </c>
      <c r="N18" s="13">
        <v>553831</v>
      </c>
      <c r="O18" s="14">
        <v>9</v>
      </c>
      <c r="P18" s="14"/>
      <c r="Q18" s="15" t="s">
        <v>56</v>
      </c>
      <c r="R18" s="15" t="s">
        <v>66</v>
      </c>
      <c r="S18" s="16">
        <f t="shared" si="0"/>
        <v>1.955713903322065E-2</v>
      </c>
      <c r="T18" s="17">
        <f t="shared" si="1"/>
        <v>4.2217964072221455E-2</v>
      </c>
      <c r="U18" t="str">
        <v>Fraco</v>
      </c>
    </row>
    <row r="19" spans="1:21" ht="15.75" customHeight="1" x14ac:dyDescent="0.25">
      <c r="A19" s="4" t="s">
        <v>85</v>
      </c>
      <c r="B19" s="4" t="str">
        <f t="shared" si="2"/>
        <v>Grande</v>
      </c>
      <c r="C19" s="5" t="s">
        <v>77</v>
      </c>
      <c r="D19" s="5" t="s">
        <v>46</v>
      </c>
      <c r="E19" s="5" t="s">
        <v>64</v>
      </c>
      <c r="F19" s="4" t="s">
        <v>60</v>
      </c>
      <c r="G19" s="5" t="s">
        <v>61</v>
      </c>
      <c r="H19" s="6">
        <v>103307891</v>
      </c>
      <c r="I19" s="6">
        <v>61461123</v>
      </c>
      <c r="J19" s="6">
        <v>616461</v>
      </c>
      <c r="K19" s="6">
        <v>83974937</v>
      </c>
      <c r="L19" s="6">
        <v>8385269</v>
      </c>
      <c r="M19" s="6">
        <v>19332954</v>
      </c>
      <c r="N19" s="6">
        <v>2902783</v>
      </c>
      <c r="O19" s="7">
        <v>1</v>
      </c>
      <c r="P19" s="7"/>
      <c r="Q19" s="8" t="s">
        <v>78</v>
      </c>
      <c r="R19" s="8" t="s">
        <v>66</v>
      </c>
      <c r="S19" s="9">
        <f t="shared" si="0"/>
        <v>0.59493154303188711</v>
      </c>
      <c r="T19" s="10">
        <f t="shared" si="1"/>
        <v>0.15014689426147707</v>
      </c>
      <c r="U19" t="str">
        <v>Excelente</v>
      </c>
    </row>
    <row r="20" spans="1:21" ht="15.75" customHeight="1" x14ac:dyDescent="0.25">
      <c r="A20" s="4" t="s">
        <v>86</v>
      </c>
      <c r="B20" s="4" t="str">
        <f t="shared" si="2"/>
        <v>Média/Pequena</v>
      </c>
      <c r="C20" s="11" t="s">
        <v>53</v>
      </c>
      <c r="D20" s="11" t="s">
        <v>80</v>
      </c>
      <c r="E20" s="11" t="s">
        <v>55</v>
      </c>
      <c r="F20" s="12" t="s">
        <v>60</v>
      </c>
      <c r="G20" s="11" t="s">
        <v>61</v>
      </c>
      <c r="H20" s="13">
        <v>90792081</v>
      </c>
      <c r="I20" s="13">
        <v>52257443</v>
      </c>
      <c r="J20" s="13">
        <v>20464231</v>
      </c>
      <c r="K20" s="13">
        <v>82811660</v>
      </c>
      <c r="L20" s="13">
        <v>73619583</v>
      </c>
      <c r="M20" s="13">
        <v>7980420</v>
      </c>
      <c r="N20" s="13">
        <v>473258</v>
      </c>
      <c r="O20" s="14">
        <v>60</v>
      </c>
      <c r="P20" s="14"/>
      <c r="Q20" s="15" t="s">
        <v>56</v>
      </c>
      <c r="R20" s="15" t="s">
        <v>57</v>
      </c>
      <c r="S20" s="16">
        <f t="shared" si="0"/>
        <v>0.57557269779949205</v>
      </c>
      <c r="T20" s="17">
        <f t="shared" si="1"/>
        <v>5.9302392605902948E-2</v>
      </c>
      <c r="U20" t="str">
        <v>Fraco</v>
      </c>
    </row>
    <row r="21" spans="1:21" ht="15.75" customHeight="1" x14ac:dyDescent="0.25">
      <c r="A21" s="4" t="s">
        <v>87</v>
      </c>
      <c r="B21" s="4" t="str">
        <f t="shared" si="2"/>
        <v>Média/Pequena</v>
      </c>
      <c r="C21" s="5" t="s">
        <v>53</v>
      </c>
      <c r="D21" s="5" t="s">
        <v>80</v>
      </c>
      <c r="E21" s="5" t="s">
        <v>55</v>
      </c>
      <c r="F21" s="4" t="s">
        <v>88</v>
      </c>
      <c r="G21" s="5" t="s">
        <v>89</v>
      </c>
      <c r="H21" s="6">
        <v>89798255</v>
      </c>
      <c r="I21" s="6">
        <v>39109757</v>
      </c>
      <c r="J21" s="6">
        <v>26898298</v>
      </c>
      <c r="K21" s="6">
        <v>82451334</v>
      </c>
      <c r="L21" s="6">
        <v>69019589</v>
      </c>
      <c r="M21" s="6">
        <v>7346921</v>
      </c>
      <c r="N21" s="6">
        <v>288276</v>
      </c>
      <c r="O21" s="7">
        <v>4</v>
      </c>
      <c r="P21" s="7"/>
      <c r="Q21" s="8" t="s">
        <v>56</v>
      </c>
      <c r="R21" s="8" t="s">
        <v>57</v>
      </c>
      <c r="S21" s="9">
        <f t="shared" si="0"/>
        <v>0.43552914252064251</v>
      </c>
      <c r="T21" s="10">
        <f t="shared" si="1"/>
        <v>3.9237661600009036E-2</v>
      </c>
      <c r="U21" t="str">
        <v>Fraco</v>
      </c>
    </row>
    <row r="22" spans="1:21" ht="15.75" customHeight="1" x14ac:dyDescent="0.25">
      <c r="A22" s="4" t="s">
        <v>90</v>
      </c>
      <c r="B22" s="4" t="str">
        <f t="shared" si="2"/>
        <v>Média/Pequena</v>
      </c>
      <c r="C22" s="11" t="s">
        <v>77</v>
      </c>
      <c r="D22" s="11" t="s">
        <v>80</v>
      </c>
      <c r="E22" s="11" t="s">
        <v>64</v>
      </c>
      <c r="F22" s="12" t="s">
        <v>91</v>
      </c>
      <c r="G22" s="11" t="s">
        <v>61</v>
      </c>
      <c r="H22" s="13">
        <v>83811718</v>
      </c>
      <c r="I22" s="13">
        <v>15083268</v>
      </c>
      <c r="J22" s="13">
        <v>12474813</v>
      </c>
      <c r="K22" s="13">
        <v>80429749</v>
      </c>
      <c r="L22" s="13">
        <v>38886398</v>
      </c>
      <c r="M22" s="13">
        <v>3381969</v>
      </c>
      <c r="N22" s="13">
        <v>225790</v>
      </c>
      <c r="O22" s="14">
        <v>1</v>
      </c>
      <c r="P22" s="14"/>
      <c r="Q22" s="15" t="s">
        <v>78</v>
      </c>
      <c r="R22" s="15" t="s">
        <v>66</v>
      </c>
      <c r="S22" s="16">
        <f t="shared" si="0"/>
        <v>0.17996609972844133</v>
      </c>
      <c r="T22" s="17">
        <f t="shared" si="1"/>
        <v>6.6762882805844762E-2</v>
      </c>
      <c r="U22" t="str">
        <v>Fraco</v>
      </c>
    </row>
    <row r="23" spans="1:21" ht="15.75" customHeight="1" x14ac:dyDescent="0.25">
      <c r="A23" s="4" t="s">
        <v>92</v>
      </c>
      <c r="B23" s="4" t="str">
        <f t="shared" si="2"/>
        <v>Média/Pequena</v>
      </c>
      <c r="C23" s="5" t="s">
        <v>53</v>
      </c>
      <c r="D23" s="5" t="s">
        <v>80</v>
      </c>
      <c r="E23" s="5" t="s">
        <v>47</v>
      </c>
      <c r="F23" s="4" t="s">
        <v>71</v>
      </c>
      <c r="G23" s="5" t="s">
        <v>72</v>
      </c>
      <c r="H23" s="6">
        <v>81653988</v>
      </c>
      <c r="I23" s="6">
        <v>54825544</v>
      </c>
      <c r="J23" s="6">
        <v>13858351</v>
      </c>
      <c r="K23" s="6">
        <v>77133167</v>
      </c>
      <c r="L23" s="6">
        <v>69274647</v>
      </c>
      <c r="M23" s="6">
        <v>4520820</v>
      </c>
      <c r="N23" s="6">
        <v>184060</v>
      </c>
      <c r="O23" s="7">
        <v>69</v>
      </c>
      <c r="P23" s="7">
        <v>193</v>
      </c>
      <c r="Q23" s="8" t="s">
        <v>56</v>
      </c>
      <c r="R23" s="8" t="s">
        <v>51</v>
      </c>
      <c r="S23" s="9">
        <f t="shared" si="0"/>
        <v>0.6714374318128834</v>
      </c>
      <c r="T23" s="10">
        <f t="shared" si="1"/>
        <v>4.0713852796616545E-2</v>
      </c>
      <c r="U23" t="str">
        <v>Fraco</v>
      </c>
    </row>
    <row r="24" spans="1:21" ht="15.75" customHeight="1" x14ac:dyDescent="0.25">
      <c r="A24" s="4" t="s">
        <v>93</v>
      </c>
      <c r="B24" s="4" t="str">
        <f t="shared" si="2"/>
        <v>Média/Pequena</v>
      </c>
      <c r="C24" s="11" t="s">
        <v>77</v>
      </c>
      <c r="D24" s="11" t="s">
        <v>80</v>
      </c>
      <c r="E24" s="11" t="s">
        <v>64</v>
      </c>
      <c r="F24" s="12" t="s">
        <v>60</v>
      </c>
      <c r="G24" s="11" t="s">
        <v>61</v>
      </c>
      <c r="H24" s="13">
        <v>81421286</v>
      </c>
      <c r="I24" s="13"/>
      <c r="J24" s="13">
        <v>28893421</v>
      </c>
      <c r="K24" s="13">
        <v>78709548</v>
      </c>
      <c r="L24" s="13">
        <v>29062647</v>
      </c>
      <c r="M24" s="13">
        <v>2711738</v>
      </c>
      <c r="N24" s="13">
        <v>94102</v>
      </c>
      <c r="O24" s="14">
        <v>1</v>
      </c>
      <c r="P24" s="14"/>
      <c r="Q24" s="15" t="s">
        <v>78</v>
      </c>
      <c r="R24" s="15" t="s">
        <v>66</v>
      </c>
      <c r="S24" s="16">
        <f t="shared" si="0"/>
        <v>0</v>
      </c>
      <c r="T24" s="17">
        <f t="shared" si="1"/>
        <v>3.4701730034391226E-2</v>
      </c>
      <c r="U24" t="str">
        <v>Fraco</v>
      </c>
    </row>
    <row r="25" spans="1:21" ht="15.75" customHeight="1" x14ac:dyDescent="0.25">
      <c r="A25" s="4" t="s">
        <v>94</v>
      </c>
      <c r="B25" s="4" t="str">
        <f t="shared" si="2"/>
        <v>Média/Pequena</v>
      </c>
      <c r="C25" s="5" t="s">
        <v>77</v>
      </c>
      <c r="D25" s="5" t="s">
        <v>54</v>
      </c>
      <c r="E25" s="5" t="s">
        <v>64</v>
      </c>
      <c r="F25" s="4" t="s">
        <v>60</v>
      </c>
      <c r="G25" s="5" t="s">
        <v>61</v>
      </c>
      <c r="H25" s="6">
        <v>75739273</v>
      </c>
      <c r="I25" s="6"/>
      <c r="J25" s="6">
        <v>114927</v>
      </c>
      <c r="K25" s="6">
        <v>72438692</v>
      </c>
      <c r="L25" s="6">
        <v>545506</v>
      </c>
      <c r="M25" s="6">
        <v>3300581</v>
      </c>
      <c r="N25" s="6">
        <v>124935</v>
      </c>
      <c r="O25" s="7">
        <v>1</v>
      </c>
      <c r="P25" s="7"/>
      <c r="Q25" s="8" t="s">
        <v>78</v>
      </c>
      <c r="R25" s="8" t="s">
        <v>66</v>
      </c>
      <c r="S25" s="9">
        <f t="shared" si="0"/>
        <v>0</v>
      </c>
      <c r="T25" s="10">
        <f t="shared" si="1"/>
        <v>3.7852426587924974E-2</v>
      </c>
      <c r="U25" t="str">
        <v>Fraco</v>
      </c>
    </row>
    <row r="26" spans="1:21" ht="15.75" customHeight="1" x14ac:dyDescent="0.25">
      <c r="A26" s="4" t="s">
        <v>95</v>
      </c>
      <c r="B26" s="4" t="str">
        <f t="shared" si="2"/>
        <v>Média/Pequena</v>
      </c>
      <c r="C26" s="11" t="s">
        <v>53</v>
      </c>
      <c r="D26" s="11" t="s">
        <v>46</v>
      </c>
      <c r="E26" s="11" t="s">
        <v>47</v>
      </c>
      <c r="F26" s="12" t="s">
        <v>96</v>
      </c>
      <c r="G26" s="11" t="s">
        <v>97</v>
      </c>
      <c r="H26" s="13">
        <v>71183557</v>
      </c>
      <c r="I26" s="13">
        <v>18694576</v>
      </c>
      <c r="J26" s="13">
        <v>43688126</v>
      </c>
      <c r="K26" s="13">
        <v>55662219</v>
      </c>
      <c r="L26" s="13">
        <v>21820106</v>
      </c>
      <c r="M26" s="13">
        <v>15521338</v>
      </c>
      <c r="N26" s="13">
        <v>657843</v>
      </c>
      <c r="O26" s="14">
        <v>301</v>
      </c>
      <c r="P26" s="14">
        <v>1</v>
      </c>
      <c r="Q26" s="15" t="s">
        <v>56</v>
      </c>
      <c r="R26" s="15" t="s">
        <v>51</v>
      </c>
      <c r="S26" s="16">
        <f t="shared" si="0"/>
        <v>0.26262492052764375</v>
      </c>
      <c r="T26" s="17">
        <f t="shared" si="1"/>
        <v>4.2383137330042037E-2</v>
      </c>
      <c r="U26" t="str">
        <v>Fraco</v>
      </c>
    </row>
    <row r="27" spans="1:21" ht="15.75" customHeight="1" x14ac:dyDescent="0.25">
      <c r="A27" s="4" t="s">
        <v>98</v>
      </c>
      <c r="B27" s="4" t="str">
        <f t="shared" si="2"/>
        <v>Média/Pequena</v>
      </c>
      <c r="C27" s="5" t="s">
        <v>77</v>
      </c>
      <c r="D27" s="5" t="s">
        <v>80</v>
      </c>
      <c r="E27" s="5" t="s">
        <v>55</v>
      </c>
      <c r="F27" s="4" t="s">
        <v>60</v>
      </c>
      <c r="G27" s="5" t="s">
        <v>61</v>
      </c>
      <c r="H27" s="6">
        <v>70658099</v>
      </c>
      <c r="I27" s="6">
        <v>570898</v>
      </c>
      <c r="J27" s="6">
        <v>4812581</v>
      </c>
      <c r="K27" s="6">
        <v>61347060</v>
      </c>
      <c r="L27" s="6">
        <v>43152758</v>
      </c>
      <c r="M27" s="6">
        <v>9311040</v>
      </c>
      <c r="N27" s="6">
        <v>241167</v>
      </c>
      <c r="O27" s="7">
        <v>1</v>
      </c>
      <c r="P27" s="7"/>
      <c r="Q27" s="8" t="s">
        <v>78</v>
      </c>
      <c r="R27" s="8" t="s">
        <v>57</v>
      </c>
      <c r="S27" s="9">
        <f t="shared" si="0"/>
        <v>8.079724873435952E-3</v>
      </c>
      <c r="T27" s="10">
        <f t="shared" si="1"/>
        <v>2.5901188266831632E-2</v>
      </c>
      <c r="U27" t="str">
        <v>Fraco</v>
      </c>
    </row>
    <row r="28" spans="1:21" ht="15.75" customHeight="1" x14ac:dyDescent="0.25">
      <c r="A28" s="4" t="s">
        <v>99</v>
      </c>
      <c r="B28" s="4" t="str">
        <f t="shared" si="2"/>
        <v>Média/Pequena</v>
      </c>
      <c r="C28" s="11" t="s">
        <v>53</v>
      </c>
      <c r="D28" s="11" t="s">
        <v>80</v>
      </c>
      <c r="E28" s="11" t="s">
        <v>64</v>
      </c>
      <c r="F28" s="12" t="s">
        <v>60</v>
      </c>
      <c r="G28" s="11" t="s">
        <v>61</v>
      </c>
      <c r="H28" s="13">
        <v>61037531</v>
      </c>
      <c r="I28" s="13">
        <v>20697873</v>
      </c>
      <c r="J28" s="13">
        <v>27404725</v>
      </c>
      <c r="K28" s="13">
        <v>54321463</v>
      </c>
      <c r="L28" s="13">
        <v>46150549</v>
      </c>
      <c r="M28" s="13">
        <v>6716068</v>
      </c>
      <c r="N28" s="13">
        <v>263010</v>
      </c>
      <c r="O28" s="14">
        <v>15</v>
      </c>
      <c r="P28" s="14"/>
      <c r="Q28" s="15" t="s">
        <v>56</v>
      </c>
      <c r="R28" s="15" t="s">
        <v>66</v>
      </c>
      <c r="S28" s="16">
        <f t="shared" si="0"/>
        <v>0.33910075753227958</v>
      </c>
      <c r="T28" s="17">
        <f t="shared" si="1"/>
        <v>3.9161306883730179E-2</v>
      </c>
      <c r="U28" t="str">
        <v>Fraco</v>
      </c>
    </row>
    <row r="29" spans="1:21" ht="15.75" customHeight="1" x14ac:dyDescent="0.25">
      <c r="A29" s="4" t="s">
        <v>100</v>
      </c>
      <c r="B29" s="4" t="str">
        <f t="shared" si="2"/>
        <v>Média/Pequena</v>
      </c>
      <c r="C29" s="5" t="s">
        <v>53</v>
      </c>
      <c r="D29" s="5" t="s">
        <v>80</v>
      </c>
      <c r="E29" s="5" t="s">
        <v>47</v>
      </c>
      <c r="F29" s="4" t="s">
        <v>101</v>
      </c>
      <c r="G29" s="5" t="s">
        <v>102</v>
      </c>
      <c r="H29" s="6">
        <v>60398229</v>
      </c>
      <c r="I29" s="6">
        <v>35935979</v>
      </c>
      <c r="J29" s="6">
        <v>20362942</v>
      </c>
      <c r="K29" s="6">
        <v>53115179</v>
      </c>
      <c r="L29" s="6">
        <v>14740265</v>
      </c>
      <c r="M29" s="6">
        <v>7283049</v>
      </c>
      <c r="N29" s="6">
        <v>224768</v>
      </c>
      <c r="O29" s="7">
        <v>115</v>
      </c>
      <c r="P29" s="7"/>
      <c r="Q29" s="8" t="s">
        <v>56</v>
      </c>
      <c r="R29" s="8" t="s">
        <v>51</v>
      </c>
      <c r="S29" s="9">
        <f t="shared" si="0"/>
        <v>0.59498398537480301</v>
      </c>
      <c r="T29" s="10">
        <f t="shared" si="1"/>
        <v>3.0861799776439786E-2</v>
      </c>
      <c r="U29" t="str">
        <v>Fraco</v>
      </c>
    </row>
    <row r="30" spans="1:21" ht="15.75" customHeight="1" x14ac:dyDescent="0.25">
      <c r="A30" s="4" t="s">
        <v>103</v>
      </c>
      <c r="B30" s="4" t="str">
        <f t="shared" si="2"/>
        <v>Média/Pequena</v>
      </c>
      <c r="C30" s="11" t="s">
        <v>104</v>
      </c>
      <c r="D30" s="11" t="s">
        <v>80</v>
      </c>
      <c r="E30" s="11" t="s">
        <v>64</v>
      </c>
      <c r="F30" s="12" t="s">
        <v>60</v>
      </c>
      <c r="G30" s="11" t="s">
        <v>61</v>
      </c>
      <c r="H30" s="13">
        <v>57305530</v>
      </c>
      <c r="I30" s="13">
        <v>47227707</v>
      </c>
      <c r="J30" s="13">
        <v>411875</v>
      </c>
      <c r="K30" s="13">
        <v>52194555</v>
      </c>
      <c r="L30" s="13">
        <v>45679270</v>
      </c>
      <c r="M30" s="13">
        <v>5110975</v>
      </c>
      <c r="N30" s="13">
        <v>52127</v>
      </c>
      <c r="O30" s="14">
        <v>2</v>
      </c>
      <c r="P30" s="14"/>
      <c r="Q30" s="15" t="s">
        <v>105</v>
      </c>
      <c r="R30" s="15" t="s">
        <v>66</v>
      </c>
      <c r="S30" s="16">
        <f t="shared" si="0"/>
        <v>0.82413873495280476</v>
      </c>
      <c r="T30" s="17">
        <f t="shared" si="1"/>
        <v>1.0199032474234369E-2</v>
      </c>
      <c r="U30" t="str">
        <v>Fraco</v>
      </c>
    </row>
    <row r="31" spans="1:21" ht="15.75" customHeight="1" x14ac:dyDescent="0.25">
      <c r="A31" s="4" t="s">
        <v>106</v>
      </c>
      <c r="B31" s="4" t="str">
        <f t="shared" si="2"/>
        <v>Média/Pequena</v>
      </c>
      <c r="C31" s="5" t="s">
        <v>53</v>
      </c>
      <c r="D31" s="5" t="s">
        <v>80</v>
      </c>
      <c r="E31" s="5" t="s">
        <v>64</v>
      </c>
      <c r="F31" s="4" t="s">
        <v>60</v>
      </c>
      <c r="G31" s="5" t="s">
        <v>61</v>
      </c>
      <c r="H31" s="6">
        <v>53861163</v>
      </c>
      <c r="I31" s="6">
        <v>6435562</v>
      </c>
      <c r="J31" s="6">
        <v>25019318</v>
      </c>
      <c r="K31" s="6">
        <v>49130639</v>
      </c>
      <c r="L31" s="6">
        <v>34576722</v>
      </c>
      <c r="M31" s="6">
        <v>4730524</v>
      </c>
      <c r="N31" s="18">
        <v>-14272</v>
      </c>
      <c r="O31" s="7">
        <v>2</v>
      </c>
      <c r="P31" s="7"/>
      <c r="Q31" s="8" t="s">
        <v>56</v>
      </c>
      <c r="R31" s="8" t="s">
        <v>66</v>
      </c>
      <c r="S31" s="9">
        <f t="shared" si="0"/>
        <v>0.11948427478255529</v>
      </c>
      <c r="T31" s="19">
        <f t="shared" si="1"/>
        <v>-3.0170019219858098E-3</v>
      </c>
      <c r="U31" t="str">
        <v>Prejuizo</v>
      </c>
    </row>
    <row r="32" spans="1:21" ht="15.75" customHeight="1" x14ac:dyDescent="0.25">
      <c r="A32" s="4" t="s">
        <v>107</v>
      </c>
      <c r="B32" s="4" t="str">
        <f t="shared" si="2"/>
        <v>Média/Pequena</v>
      </c>
      <c r="C32" s="11" t="s">
        <v>53</v>
      </c>
      <c r="D32" s="11" t="s">
        <v>80</v>
      </c>
      <c r="E32" s="11" t="s">
        <v>64</v>
      </c>
      <c r="F32" s="12" t="s">
        <v>60</v>
      </c>
      <c r="G32" s="11" t="s">
        <v>61</v>
      </c>
      <c r="H32" s="13">
        <v>53243129</v>
      </c>
      <c r="I32" s="13">
        <v>35929923</v>
      </c>
      <c r="J32" s="13">
        <v>5428626</v>
      </c>
      <c r="K32" s="13">
        <v>47436684</v>
      </c>
      <c r="L32" s="13">
        <v>42473991</v>
      </c>
      <c r="M32" s="13">
        <v>5806445</v>
      </c>
      <c r="N32" s="13">
        <v>133564</v>
      </c>
      <c r="O32" s="14">
        <v>19</v>
      </c>
      <c r="P32" s="14"/>
      <c r="Q32" s="15" t="s">
        <v>56</v>
      </c>
      <c r="R32" s="15" t="s">
        <v>66</v>
      </c>
      <c r="S32" s="16">
        <f t="shared" si="0"/>
        <v>0.67482741294186521</v>
      </c>
      <c r="T32" s="17">
        <f t="shared" si="1"/>
        <v>2.3002715086425516E-2</v>
      </c>
      <c r="U32" t="str">
        <v>Fraco</v>
      </c>
    </row>
    <row r="33" spans="1:21" ht="15.75" customHeight="1" x14ac:dyDescent="0.25">
      <c r="A33" s="4" t="s">
        <v>108</v>
      </c>
      <c r="B33" s="4" t="str">
        <f t="shared" si="2"/>
        <v>Média/Pequena</v>
      </c>
      <c r="C33" s="5" t="s">
        <v>53</v>
      </c>
      <c r="D33" s="5" t="s">
        <v>80</v>
      </c>
      <c r="E33" s="5" t="s">
        <v>55</v>
      </c>
      <c r="F33" s="4" t="s">
        <v>60</v>
      </c>
      <c r="G33" s="5" t="s">
        <v>61</v>
      </c>
      <c r="H33" s="6">
        <v>48654470</v>
      </c>
      <c r="I33" s="6">
        <v>21826968</v>
      </c>
      <c r="J33" s="6">
        <v>16044068</v>
      </c>
      <c r="K33" s="6">
        <v>44808273</v>
      </c>
      <c r="L33" s="6">
        <v>34121921</v>
      </c>
      <c r="M33" s="6">
        <v>3846197</v>
      </c>
      <c r="N33" s="6">
        <v>148265</v>
      </c>
      <c r="O33" s="7">
        <v>35</v>
      </c>
      <c r="P33" s="7">
        <v>2</v>
      </c>
      <c r="Q33" s="8" t="s">
        <v>56</v>
      </c>
      <c r="R33" s="8" t="s">
        <v>57</v>
      </c>
      <c r="S33" s="9">
        <f t="shared" si="0"/>
        <v>0.44861177195024426</v>
      </c>
      <c r="T33" s="10">
        <f t="shared" si="1"/>
        <v>3.8548467486194803E-2</v>
      </c>
      <c r="U33" t="str">
        <v>Fraco</v>
      </c>
    </row>
    <row r="34" spans="1:21" ht="15.75" customHeight="1" x14ac:dyDescent="0.25">
      <c r="A34" s="4" t="s">
        <v>109</v>
      </c>
      <c r="B34" s="4" t="str">
        <f t="shared" si="2"/>
        <v>Média/Pequena</v>
      </c>
      <c r="C34" s="11" t="s">
        <v>53</v>
      </c>
      <c r="D34" s="11" t="s">
        <v>80</v>
      </c>
      <c r="E34" s="11" t="s">
        <v>55</v>
      </c>
      <c r="F34" s="12" t="s">
        <v>60</v>
      </c>
      <c r="G34" s="11" t="s">
        <v>61</v>
      </c>
      <c r="H34" s="13">
        <v>47121104</v>
      </c>
      <c r="I34" s="13">
        <v>42705618</v>
      </c>
      <c r="J34" s="13">
        <v>350110</v>
      </c>
      <c r="K34" s="13">
        <v>45731566</v>
      </c>
      <c r="L34" s="13">
        <v>45436982</v>
      </c>
      <c r="M34" s="13">
        <v>1389538</v>
      </c>
      <c r="N34" s="13">
        <v>12156</v>
      </c>
      <c r="O34" s="14">
        <v>4</v>
      </c>
      <c r="P34" s="14"/>
      <c r="Q34" s="15" t="s">
        <v>56</v>
      </c>
      <c r="R34" s="15" t="s">
        <v>57</v>
      </c>
      <c r="S34" s="16">
        <f t="shared" si="0"/>
        <v>0.90629493740214573</v>
      </c>
      <c r="T34" s="17">
        <f t="shared" si="1"/>
        <v>8.7482314265604835E-3</v>
      </c>
      <c r="U34" t="str">
        <v>Fraco</v>
      </c>
    </row>
    <row r="35" spans="1:21" ht="15.75" customHeight="1" x14ac:dyDescent="0.25">
      <c r="A35" s="4" t="s">
        <v>110</v>
      </c>
      <c r="B35" s="4" t="str">
        <f t="shared" si="2"/>
        <v>Média/Pequena</v>
      </c>
      <c r="C35" s="5" t="s">
        <v>53</v>
      </c>
      <c r="D35" s="5" t="s">
        <v>80</v>
      </c>
      <c r="E35" s="5" t="s">
        <v>55</v>
      </c>
      <c r="F35" s="4" t="s">
        <v>111</v>
      </c>
      <c r="G35" s="5" t="s">
        <v>61</v>
      </c>
      <c r="H35" s="6">
        <v>46039242</v>
      </c>
      <c r="I35" s="6">
        <v>32156062</v>
      </c>
      <c r="J35" s="6">
        <v>8673021</v>
      </c>
      <c r="K35" s="6">
        <v>42980647</v>
      </c>
      <c r="L35" s="6">
        <v>30299489</v>
      </c>
      <c r="M35" s="6">
        <v>3058595</v>
      </c>
      <c r="N35" s="6">
        <v>222644</v>
      </c>
      <c r="O35" s="7">
        <v>4</v>
      </c>
      <c r="P35" s="7">
        <v>318</v>
      </c>
      <c r="Q35" s="8" t="s">
        <v>56</v>
      </c>
      <c r="R35" s="8" t="s">
        <v>57</v>
      </c>
      <c r="S35" s="9">
        <f t="shared" si="0"/>
        <v>0.69844898836518643</v>
      </c>
      <c r="T35" s="10">
        <f t="shared" si="1"/>
        <v>7.2792900008010211E-2</v>
      </c>
      <c r="U35" t="str">
        <v>Fraco</v>
      </c>
    </row>
    <row r="36" spans="1:21" ht="15.75" customHeight="1" x14ac:dyDescent="0.25">
      <c r="A36" s="4" t="s">
        <v>112</v>
      </c>
      <c r="B36" s="4" t="str">
        <f t="shared" si="2"/>
        <v>Média/Pequena</v>
      </c>
      <c r="C36" s="11" t="s">
        <v>53</v>
      </c>
      <c r="D36" s="11" t="s">
        <v>80</v>
      </c>
      <c r="E36" s="11" t="s">
        <v>64</v>
      </c>
      <c r="F36" s="12" t="s">
        <v>60</v>
      </c>
      <c r="G36" s="11" t="s">
        <v>61</v>
      </c>
      <c r="H36" s="13">
        <v>39477159</v>
      </c>
      <c r="I36" s="13">
        <v>2319542</v>
      </c>
      <c r="J36" s="13">
        <v>9631104</v>
      </c>
      <c r="K36" s="13">
        <v>32577440</v>
      </c>
      <c r="L36" s="13">
        <v>22798787</v>
      </c>
      <c r="M36" s="13">
        <v>6899720</v>
      </c>
      <c r="N36" s="13">
        <v>254132</v>
      </c>
      <c r="O36" s="14">
        <v>3</v>
      </c>
      <c r="P36" s="14"/>
      <c r="Q36" s="15" t="s">
        <v>56</v>
      </c>
      <c r="R36" s="15" t="s">
        <v>66</v>
      </c>
      <c r="S36" s="16">
        <f t="shared" si="0"/>
        <v>5.8756558444339926E-2</v>
      </c>
      <c r="T36" s="17">
        <f t="shared" si="1"/>
        <v>3.6832219278463474E-2</v>
      </c>
      <c r="U36" t="str">
        <v>Fraco</v>
      </c>
    </row>
    <row r="37" spans="1:21" ht="15.75" customHeight="1" x14ac:dyDescent="0.25">
      <c r="A37" s="4" t="s">
        <v>113</v>
      </c>
      <c r="B37" s="4" t="str">
        <f t="shared" si="2"/>
        <v>Média/Pequena</v>
      </c>
      <c r="C37" s="5" t="s">
        <v>53</v>
      </c>
      <c r="D37" s="5" t="s">
        <v>80</v>
      </c>
      <c r="E37" s="5" t="s">
        <v>47</v>
      </c>
      <c r="F37" s="4" t="s">
        <v>114</v>
      </c>
      <c r="G37" s="5" t="s">
        <v>115</v>
      </c>
      <c r="H37" s="6">
        <v>39224908</v>
      </c>
      <c r="I37" s="6">
        <v>12030223</v>
      </c>
      <c r="J37" s="6">
        <v>10490646</v>
      </c>
      <c r="K37" s="6">
        <v>36782556</v>
      </c>
      <c r="L37" s="6">
        <v>35293616</v>
      </c>
      <c r="M37" s="6">
        <v>2442351</v>
      </c>
      <c r="N37" s="6">
        <v>110665</v>
      </c>
      <c r="O37" s="7">
        <v>88</v>
      </c>
      <c r="P37" s="7">
        <v>62</v>
      </c>
      <c r="Q37" s="8" t="s">
        <v>56</v>
      </c>
      <c r="R37" s="8" t="s">
        <v>51</v>
      </c>
      <c r="S37" s="9">
        <f t="shared" ref="S37:S68" si="3">I37/H37</f>
        <v>0.30669856510562116</v>
      </c>
      <c r="T37" s="10">
        <f t="shared" ref="T37:T68" si="4">N37/M37</f>
        <v>4.5310850078469474E-2</v>
      </c>
      <c r="U37" t="str">
        <v>Fraco</v>
      </c>
    </row>
    <row r="38" spans="1:21" ht="15.75" customHeight="1" x14ac:dyDescent="0.25">
      <c r="A38" s="4" t="s">
        <v>116</v>
      </c>
      <c r="B38" s="4" t="str">
        <f t="shared" si="2"/>
        <v>Média/Pequena</v>
      </c>
      <c r="C38" s="11" t="s">
        <v>53</v>
      </c>
      <c r="D38" s="11" t="s">
        <v>80</v>
      </c>
      <c r="E38" s="11" t="s">
        <v>55</v>
      </c>
      <c r="F38" s="12" t="s">
        <v>60</v>
      </c>
      <c r="G38" s="11" t="s">
        <v>61</v>
      </c>
      <c r="H38" s="13">
        <v>36903126</v>
      </c>
      <c r="I38" s="13">
        <v>18692150</v>
      </c>
      <c r="J38" s="13">
        <v>9101147</v>
      </c>
      <c r="K38" s="13">
        <v>35579849</v>
      </c>
      <c r="L38" s="13">
        <v>28066944</v>
      </c>
      <c r="M38" s="13">
        <v>1323278</v>
      </c>
      <c r="N38" s="13">
        <v>44142</v>
      </c>
      <c r="O38" s="14">
        <v>7</v>
      </c>
      <c r="P38" s="14"/>
      <c r="Q38" s="15" t="s">
        <v>56</v>
      </c>
      <c r="R38" s="15" t="s">
        <v>57</v>
      </c>
      <c r="S38" s="16">
        <f t="shared" si="3"/>
        <v>0.50651942060409738</v>
      </c>
      <c r="T38" s="17">
        <f t="shared" si="4"/>
        <v>3.3358069884030415E-2</v>
      </c>
      <c r="U38" t="str">
        <v>Fraco</v>
      </c>
    </row>
    <row r="39" spans="1:21" ht="15.75" customHeight="1" x14ac:dyDescent="0.25">
      <c r="A39" s="4" t="s">
        <v>117</v>
      </c>
      <c r="B39" s="4" t="str">
        <f t="shared" si="2"/>
        <v>Média/Pequena</v>
      </c>
      <c r="C39" s="5" t="s">
        <v>104</v>
      </c>
      <c r="D39" s="5" t="s">
        <v>80</v>
      </c>
      <c r="E39" s="5" t="s">
        <v>64</v>
      </c>
      <c r="F39" s="4" t="s">
        <v>60</v>
      </c>
      <c r="G39" s="5" t="s">
        <v>61</v>
      </c>
      <c r="H39" s="6">
        <v>35476399</v>
      </c>
      <c r="I39" s="6"/>
      <c r="J39" s="6">
        <v>21278861</v>
      </c>
      <c r="K39" s="6">
        <v>30529349</v>
      </c>
      <c r="L39" s="6">
        <v>14735766</v>
      </c>
      <c r="M39" s="6">
        <v>4947050</v>
      </c>
      <c r="N39" s="6">
        <v>236535</v>
      </c>
      <c r="O39" s="7">
        <v>4</v>
      </c>
      <c r="P39" s="7"/>
      <c r="Q39" s="8" t="s">
        <v>105</v>
      </c>
      <c r="R39" s="8" t="s">
        <v>66</v>
      </c>
      <c r="S39" s="9">
        <f t="shared" si="3"/>
        <v>0</v>
      </c>
      <c r="T39" s="10">
        <f t="shared" si="4"/>
        <v>4.7813343305606375E-2</v>
      </c>
      <c r="U39" t="str">
        <v>Fraco</v>
      </c>
    </row>
    <row r="40" spans="1:21" ht="15.75" customHeight="1" x14ac:dyDescent="0.25">
      <c r="A40" s="4" t="s">
        <v>118</v>
      </c>
      <c r="B40" s="4" t="str">
        <f t="shared" si="2"/>
        <v>Média/Pequena</v>
      </c>
      <c r="C40" s="11" t="s">
        <v>53</v>
      </c>
      <c r="D40" s="11" t="s">
        <v>80</v>
      </c>
      <c r="E40" s="11" t="s">
        <v>55</v>
      </c>
      <c r="F40" s="12" t="s">
        <v>48</v>
      </c>
      <c r="G40" s="11" t="s">
        <v>49</v>
      </c>
      <c r="H40" s="13">
        <v>35077310</v>
      </c>
      <c r="I40" s="13"/>
      <c r="J40" s="13">
        <v>29886789</v>
      </c>
      <c r="K40" s="13">
        <v>16040614</v>
      </c>
      <c r="L40" s="13">
        <v>4622609</v>
      </c>
      <c r="M40" s="13">
        <v>19036696</v>
      </c>
      <c r="N40" s="13">
        <v>68896</v>
      </c>
      <c r="O40" s="14">
        <v>2</v>
      </c>
      <c r="P40" s="14"/>
      <c r="Q40" s="15" t="s">
        <v>56</v>
      </c>
      <c r="R40" s="15" t="s">
        <v>57</v>
      </c>
      <c r="S40" s="16">
        <f t="shared" si="3"/>
        <v>0</v>
      </c>
      <c r="T40" s="17">
        <f t="shared" si="4"/>
        <v>3.619115417927565E-3</v>
      </c>
      <c r="U40" t="str">
        <v>Fraco</v>
      </c>
    </row>
    <row r="41" spans="1:21" ht="15.75" customHeight="1" x14ac:dyDescent="0.25">
      <c r="A41" s="4" t="s">
        <v>119</v>
      </c>
      <c r="B41" s="4" t="str">
        <f t="shared" si="2"/>
        <v>Média/Pequena</v>
      </c>
      <c r="C41" s="5" t="s">
        <v>53</v>
      </c>
      <c r="D41" s="5" t="s">
        <v>80</v>
      </c>
      <c r="E41" s="5" t="s">
        <v>55</v>
      </c>
      <c r="F41" s="4" t="s">
        <v>60</v>
      </c>
      <c r="G41" s="5" t="s">
        <v>61</v>
      </c>
      <c r="H41" s="6">
        <v>33578473</v>
      </c>
      <c r="I41" s="6">
        <v>13581188</v>
      </c>
      <c r="J41" s="6">
        <v>11511218</v>
      </c>
      <c r="K41" s="6">
        <v>32114297</v>
      </c>
      <c r="L41" s="6">
        <v>29988027</v>
      </c>
      <c r="M41" s="6">
        <v>1464177</v>
      </c>
      <c r="N41" s="18">
        <v>-14250</v>
      </c>
      <c r="O41" s="7">
        <v>2</v>
      </c>
      <c r="P41" s="7"/>
      <c r="Q41" s="8" t="s">
        <v>56</v>
      </c>
      <c r="R41" s="8" t="s">
        <v>57</v>
      </c>
      <c r="S41" s="9">
        <f t="shared" si="3"/>
        <v>0.404461155812535</v>
      </c>
      <c r="T41" s="19">
        <f t="shared" si="4"/>
        <v>-9.7324298906484672E-3</v>
      </c>
      <c r="U41" t="str">
        <v>Prejuizo</v>
      </c>
    </row>
    <row r="42" spans="1:21" ht="15.75" customHeight="1" x14ac:dyDescent="0.25">
      <c r="A42" s="4" t="s">
        <v>120</v>
      </c>
      <c r="B42" s="4" t="str">
        <f t="shared" si="2"/>
        <v>Média/Pequena</v>
      </c>
      <c r="C42" s="11" t="s">
        <v>53</v>
      </c>
      <c r="D42" s="11" t="s">
        <v>80</v>
      </c>
      <c r="E42" s="11" t="s">
        <v>55</v>
      </c>
      <c r="F42" s="12" t="s">
        <v>88</v>
      </c>
      <c r="G42" s="11" t="s">
        <v>89</v>
      </c>
      <c r="H42" s="13">
        <v>32632191</v>
      </c>
      <c r="I42" s="13">
        <v>20505840</v>
      </c>
      <c r="J42" s="13">
        <v>2391464</v>
      </c>
      <c r="K42" s="13">
        <v>30344679</v>
      </c>
      <c r="L42" s="13">
        <v>26259364</v>
      </c>
      <c r="M42" s="13">
        <v>2287511</v>
      </c>
      <c r="N42" s="13">
        <v>254936</v>
      </c>
      <c r="O42" s="14">
        <v>11</v>
      </c>
      <c r="P42" s="14">
        <v>298</v>
      </c>
      <c r="Q42" s="15" t="s">
        <v>56</v>
      </c>
      <c r="R42" s="15" t="s">
        <v>57</v>
      </c>
      <c r="S42" s="16">
        <f t="shared" si="3"/>
        <v>0.62839298777087937</v>
      </c>
      <c r="T42" s="17">
        <f t="shared" si="4"/>
        <v>0.11144689577449027</v>
      </c>
      <c r="U42" t="str">
        <v>Bom</v>
      </c>
    </row>
    <row r="43" spans="1:21" ht="15.75" customHeight="1" x14ac:dyDescent="0.25">
      <c r="A43" s="4" t="s">
        <v>121</v>
      </c>
      <c r="B43" s="4" t="str">
        <f t="shared" si="2"/>
        <v>Média/Pequena</v>
      </c>
      <c r="C43" s="5" t="s">
        <v>122</v>
      </c>
      <c r="D43" s="5" t="s">
        <v>80</v>
      </c>
      <c r="E43" s="5" t="s">
        <v>55</v>
      </c>
      <c r="F43" s="4" t="s">
        <v>88</v>
      </c>
      <c r="G43" s="5" t="s">
        <v>89</v>
      </c>
      <c r="H43" s="6">
        <v>31721175</v>
      </c>
      <c r="I43" s="6">
        <v>138917</v>
      </c>
      <c r="J43" s="6">
        <v>7343431</v>
      </c>
      <c r="K43" s="6">
        <v>30129225</v>
      </c>
      <c r="L43" s="6">
        <v>948743</v>
      </c>
      <c r="M43" s="6">
        <v>1591950</v>
      </c>
      <c r="N43" s="6">
        <v>10863</v>
      </c>
      <c r="O43" s="7"/>
      <c r="P43" s="7"/>
      <c r="Q43" s="8" t="s">
        <v>123</v>
      </c>
      <c r="R43" s="8" t="s">
        <v>57</v>
      </c>
      <c r="S43" s="9">
        <f t="shared" si="3"/>
        <v>4.3793144484717229E-3</v>
      </c>
      <c r="T43" s="10">
        <f t="shared" si="4"/>
        <v>6.8237067747102609E-3</v>
      </c>
      <c r="U43" t="str">
        <v>Fraco</v>
      </c>
    </row>
    <row r="44" spans="1:21" ht="15.75" customHeight="1" x14ac:dyDescent="0.25">
      <c r="A44" s="4" t="s">
        <v>124</v>
      </c>
      <c r="B44" s="4" t="str">
        <f t="shared" si="2"/>
        <v>Média/Pequena</v>
      </c>
      <c r="C44" s="11" t="s">
        <v>53</v>
      </c>
      <c r="D44" s="11" t="s">
        <v>80</v>
      </c>
      <c r="E44" s="11" t="s">
        <v>55</v>
      </c>
      <c r="F44" s="12" t="s">
        <v>60</v>
      </c>
      <c r="G44" s="11" t="s">
        <v>61</v>
      </c>
      <c r="H44" s="13">
        <v>30739948</v>
      </c>
      <c r="I44" s="13">
        <v>12152152</v>
      </c>
      <c r="J44" s="13">
        <v>13824642</v>
      </c>
      <c r="K44" s="13">
        <v>29490244</v>
      </c>
      <c r="L44" s="13">
        <v>23758737</v>
      </c>
      <c r="M44" s="13">
        <v>1249704</v>
      </c>
      <c r="N44" s="13">
        <v>103633</v>
      </c>
      <c r="O44" s="14">
        <v>5</v>
      </c>
      <c r="P44" s="14"/>
      <c r="Q44" s="15" t="s">
        <v>56</v>
      </c>
      <c r="R44" s="15" t="s">
        <v>57</v>
      </c>
      <c r="S44" s="16">
        <f t="shared" si="3"/>
        <v>0.39532116319780369</v>
      </c>
      <c r="T44" s="17">
        <f t="shared" si="4"/>
        <v>8.2926036885534501E-2</v>
      </c>
      <c r="U44" t="str">
        <v>Bom</v>
      </c>
    </row>
    <row r="45" spans="1:21" ht="15.75" customHeight="1" x14ac:dyDescent="0.25">
      <c r="A45" s="4" t="s">
        <v>125</v>
      </c>
      <c r="B45" s="4" t="str">
        <f t="shared" si="2"/>
        <v>Média/Pequena</v>
      </c>
      <c r="C45" s="5" t="s">
        <v>126</v>
      </c>
      <c r="D45" s="5" t="s">
        <v>127</v>
      </c>
      <c r="E45" s="5" t="s">
        <v>55</v>
      </c>
      <c r="F45" s="4" t="s">
        <v>60</v>
      </c>
      <c r="G45" s="5" t="s">
        <v>61</v>
      </c>
      <c r="H45" s="6">
        <v>30330849</v>
      </c>
      <c r="I45" s="6"/>
      <c r="J45" s="6">
        <v>142312</v>
      </c>
      <c r="K45" s="6">
        <v>30244562</v>
      </c>
      <c r="L45" s="6">
        <v>1318842</v>
      </c>
      <c r="M45" s="6">
        <v>86287</v>
      </c>
      <c r="N45" s="6">
        <v>3610</v>
      </c>
      <c r="O45" s="7">
        <v>6</v>
      </c>
      <c r="P45" s="7"/>
      <c r="Q45" s="8" t="s">
        <v>128</v>
      </c>
      <c r="R45" s="8" t="s">
        <v>57</v>
      </c>
      <c r="S45" s="9">
        <f t="shared" si="3"/>
        <v>0</v>
      </c>
      <c r="T45" s="10">
        <f t="shared" si="4"/>
        <v>4.1837124943502495E-2</v>
      </c>
      <c r="U45" t="str">
        <v>Fraco</v>
      </c>
    </row>
    <row r="46" spans="1:21" ht="15.75" customHeight="1" x14ac:dyDescent="0.25">
      <c r="A46" s="4" t="s">
        <v>129</v>
      </c>
      <c r="B46" s="4" t="str">
        <f t="shared" si="2"/>
        <v>Média/Pequena</v>
      </c>
      <c r="C46" s="11" t="s">
        <v>53</v>
      </c>
      <c r="D46" s="11" t="s">
        <v>80</v>
      </c>
      <c r="E46" s="11" t="s">
        <v>64</v>
      </c>
      <c r="F46" s="12" t="s">
        <v>130</v>
      </c>
      <c r="G46" s="11" t="s">
        <v>131</v>
      </c>
      <c r="H46" s="13">
        <v>28400226</v>
      </c>
      <c r="I46" s="13">
        <v>14361419</v>
      </c>
      <c r="J46" s="13">
        <v>8435205</v>
      </c>
      <c r="K46" s="13">
        <v>26790924</v>
      </c>
      <c r="L46" s="13">
        <v>23887933</v>
      </c>
      <c r="M46" s="13">
        <v>1609302</v>
      </c>
      <c r="N46" s="13">
        <v>142429</v>
      </c>
      <c r="O46" s="14">
        <v>8</v>
      </c>
      <c r="P46" s="14"/>
      <c r="Q46" s="15" t="s">
        <v>56</v>
      </c>
      <c r="R46" s="15" t="s">
        <v>66</v>
      </c>
      <c r="S46" s="16">
        <f t="shared" si="3"/>
        <v>0.50567974353443523</v>
      </c>
      <c r="T46" s="17">
        <f t="shared" si="4"/>
        <v>8.850358726951188E-2</v>
      </c>
      <c r="U46" t="str">
        <v>Bom</v>
      </c>
    </row>
    <row r="47" spans="1:21" ht="15.75" customHeight="1" x14ac:dyDescent="0.25">
      <c r="A47" s="4" t="s">
        <v>132</v>
      </c>
      <c r="B47" s="4" t="str">
        <f t="shared" si="2"/>
        <v>Média/Pequena</v>
      </c>
      <c r="C47" s="5" t="s">
        <v>45</v>
      </c>
      <c r="D47" s="5" t="s">
        <v>80</v>
      </c>
      <c r="E47" s="5" t="s">
        <v>47</v>
      </c>
      <c r="F47" s="4" t="s">
        <v>68</v>
      </c>
      <c r="G47" s="5" t="s">
        <v>69</v>
      </c>
      <c r="H47" s="6">
        <v>28240633</v>
      </c>
      <c r="I47" s="6">
        <v>22929973</v>
      </c>
      <c r="J47" s="6">
        <v>4565489</v>
      </c>
      <c r="K47" s="6">
        <v>22831876</v>
      </c>
      <c r="L47" s="6">
        <v>21388428</v>
      </c>
      <c r="M47" s="6">
        <v>5408758</v>
      </c>
      <c r="N47" s="6">
        <v>159410</v>
      </c>
      <c r="O47" s="7">
        <v>4</v>
      </c>
      <c r="P47" s="7"/>
      <c r="Q47" s="8" t="s">
        <v>50</v>
      </c>
      <c r="R47" s="8" t="s">
        <v>51</v>
      </c>
      <c r="S47" s="9">
        <f t="shared" si="3"/>
        <v>0.81194968257262501</v>
      </c>
      <c r="T47" s="10">
        <f t="shared" si="4"/>
        <v>2.9472570227767631E-2</v>
      </c>
      <c r="U47" t="str">
        <v>Fraco</v>
      </c>
    </row>
    <row r="48" spans="1:21" ht="15.75" customHeight="1" x14ac:dyDescent="0.25">
      <c r="A48" s="4" t="s">
        <v>133</v>
      </c>
      <c r="B48" s="4" t="str">
        <f t="shared" si="2"/>
        <v>Média/Pequena</v>
      </c>
      <c r="C48" s="11" t="s">
        <v>104</v>
      </c>
      <c r="D48" s="11" t="s">
        <v>80</v>
      </c>
      <c r="E48" s="11" t="s">
        <v>64</v>
      </c>
      <c r="F48" s="12" t="s">
        <v>134</v>
      </c>
      <c r="G48" s="11" t="s">
        <v>135</v>
      </c>
      <c r="H48" s="13">
        <v>27234386</v>
      </c>
      <c r="I48" s="13">
        <v>23527547</v>
      </c>
      <c r="J48" s="13">
        <v>19369</v>
      </c>
      <c r="K48" s="13">
        <v>24481925</v>
      </c>
      <c r="L48" s="13">
        <v>22550223</v>
      </c>
      <c r="M48" s="13">
        <v>2752461</v>
      </c>
      <c r="N48" s="20">
        <v>-155379</v>
      </c>
      <c r="O48" s="14">
        <v>2</v>
      </c>
      <c r="P48" s="14"/>
      <c r="Q48" s="15" t="s">
        <v>105</v>
      </c>
      <c r="R48" s="15" t="s">
        <v>66</v>
      </c>
      <c r="S48" s="16">
        <f t="shared" si="3"/>
        <v>0.86389122192804346</v>
      </c>
      <c r="T48" s="21">
        <f t="shared" si="4"/>
        <v>-5.6450936089557674E-2</v>
      </c>
      <c r="U48" t="str">
        <v>Prejuizo</v>
      </c>
    </row>
    <row r="49" spans="1:21" ht="15.75" customHeight="1" x14ac:dyDescent="0.25">
      <c r="A49" s="4" t="s">
        <v>136</v>
      </c>
      <c r="B49" s="4" t="str">
        <f t="shared" si="2"/>
        <v>Média/Pequena</v>
      </c>
      <c r="C49" s="5" t="s">
        <v>63</v>
      </c>
      <c r="D49" s="5" t="s">
        <v>80</v>
      </c>
      <c r="E49" s="5" t="s">
        <v>64</v>
      </c>
      <c r="F49" s="4" t="s">
        <v>60</v>
      </c>
      <c r="G49" s="5" t="s">
        <v>61</v>
      </c>
      <c r="H49" s="6">
        <v>26159000</v>
      </c>
      <c r="I49" s="6">
        <v>22491450</v>
      </c>
      <c r="J49" s="6"/>
      <c r="K49" s="6">
        <v>25964210</v>
      </c>
      <c r="L49" s="6">
        <v>25441979</v>
      </c>
      <c r="M49" s="6">
        <v>194789</v>
      </c>
      <c r="N49" s="6">
        <v>38794</v>
      </c>
      <c r="O49" s="7">
        <v>2</v>
      </c>
      <c r="P49" s="7"/>
      <c r="Q49" s="8" t="s">
        <v>65</v>
      </c>
      <c r="R49" s="8" t="s">
        <v>66</v>
      </c>
      <c r="S49" s="9">
        <f t="shared" si="3"/>
        <v>0.85979777514430977</v>
      </c>
      <c r="T49" s="10">
        <f t="shared" si="4"/>
        <v>0.19915909009235636</v>
      </c>
      <c r="U49" t="str">
        <v>Excelente</v>
      </c>
    </row>
    <row r="50" spans="1:21" ht="15.75" customHeight="1" x14ac:dyDescent="0.25">
      <c r="A50" s="4" t="s">
        <v>137</v>
      </c>
      <c r="B50" s="4" t="str">
        <f t="shared" si="2"/>
        <v>Média/Pequena</v>
      </c>
      <c r="C50" s="11" t="s">
        <v>104</v>
      </c>
      <c r="D50" s="11" t="s">
        <v>80</v>
      </c>
      <c r="E50" s="11" t="s">
        <v>64</v>
      </c>
      <c r="F50" s="12" t="s">
        <v>60</v>
      </c>
      <c r="G50" s="11" t="s">
        <v>61</v>
      </c>
      <c r="H50" s="13">
        <v>23376337</v>
      </c>
      <c r="I50" s="13">
        <v>19250467</v>
      </c>
      <c r="J50" s="13">
        <v>1472989</v>
      </c>
      <c r="K50" s="13">
        <v>19339832</v>
      </c>
      <c r="L50" s="13">
        <v>18003645</v>
      </c>
      <c r="M50" s="13">
        <v>4036505</v>
      </c>
      <c r="N50" s="13">
        <v>159661</v>
      </c>
      <c r="O50" s="14">
        <v>4</v>
      </c>
      <c r="P50" s="14"/>
      <c r="Q50" s="15" t="s">
        <v>105</v>
      </c>
      <c r="R50" s="15" t="s">
        <v>66</v>
      </c>
      <c r="S50" s="16">
        <f t="shared" si="3"/>
        <v>0.82350228780497137</v>
      </c>
      <c r="T50" s="17">
        <f t="shared" si="4"/>
        <v>3.9554267862916062E-2</v>
      </c>
      <c r="U50" t="str">
        <v>Fraco</v>
      </c>
    </row>
    <row r="51" spans="1:21" ht="15.75" customHeight="1" x14ac:dyDescent="0.25">
      <c r="A51" s="4" t="s">
        <v>138</v>
      </c>
      <c r="B51" s="4" t="str">
        <f t="shared" si="2"/>
        <v>Média/Pequena</v>
      </c>
      <c r="C51" s="5" t="s">
        <v>77</v>
      </c>
      <c r="D51" s="5" t="s">
        <v>127</v>
      </c>
      <c r="E51" s="5" t="s">
        <v>55</v>
      </c>
      <c r="F51" s="4" t="s">
        <v>60</v>
      </c>
      <c r="G51" s="5" t="s">
        <v>61</v>
      </c>
      <c r="H51" s="6">
        <v>23208647</v>
      </c>
      <c r="I51" s="6"/>
      <c r="J51" s="6">
        <v>607961</v>
      </c>
      <c r="K51" s="6">
        <v>21756217</v>
      </c>
      <c r="L51" s="6">
        <v>1254756</v>
      </c>
      <c r="M51" s="6">
        <v>1452431</v>
      </c>
      <c r="N51" s="6">
        <v>178745</v>
      </c>
      <c r="O51" s="7">
        <v>1</v>
      </c>
      <c r="P51" s="7"/>
      <c r="Q51" s="8" t="s">
        <v>78</v>
      </c>
      <c r="R51" s="8" t="s">
        <v>57</v>
      </c>
      <c r="S51" s="9">
        <f t="shared" si="3"/>
        <v>0</v>
      </c>
      <c r="T51" s="10">
        <f t="shared" si="4"/>
        <v>0.12306608713253848</v>
      </c>
      <c r="U51" t="str">
        <v>Bom</v>
      </c>
    </row>
    <row r="52" spans="1:21" ht="15.75" customHeight="1" x14ac:dyDescent="0.25">
      <c r="A52" s="4" t="s">
        <v>139</v>
      </c>
      <c r="B52" s="4" t="str">
        <f t="shared" si="2"/>
        <v>Média/Pequena</v>
      </c>
      <c r="C52" s="11" t="s">
        <v>122</v>
      </c>
      <c r="D52" s="11" t="s">
        <v>80</v>
      </c>
      <c r="E52" s="11" t="s">
        <v>55</v>
      </c>
      <c r="F52" s="12" t="s">
        <v>88</v>
      </c>
      <c r="G52" s="11" t="s">
        <v>89</v>
      </c>
      <c r="H52" s="13">
        <v>22431780</v>
      </c>
      <c r="I52" s="13">
        <v>1004993</v>
      </c>
      <c r="J52" s="13">
        <v>5253323</v>
      </c>
      <c r="K52" s="13">
        <v>21513750</v>
      </c>
      <c r="L52" s="13"/>
      <c r="M52" s="13">
        <v>918030</v>
      </c>
      <c r="N52" s="13">
        <v>37859</v>
      </c>
      <c r="O52" s="14"/>
      <c r="P52" s="14"/>
      <c r="Q52" s="15" t="s">
        <v>123</v>
      </c>
      <c r="R52" s="15" t="s">
        <v>57</v>
      </c>
      <c r="S52" s="16">
        <f t="shared" si="3"/>
        <v>4.4802195813261364E-2</v>
      </c>
      <c r="T52" s="17">
        <f t="shared" si="4"/>
        <v>4.123939304815747E-2</v>
      </c>
      <c r="U52" t="str">
        <v>Fraco</v>
      </c>
    </row>
    <row r="53" spans="1:21" ht="15.75" customHeight="1" x14ac:dyDescent="0.25">
      <c r="A53" s="4" t="s">
        <v>140</v>
      </c>
      <c r="B53" s="4" t="str">
        <f t="shared" si="2"/>
        <v>Média/Pequena</v>
      </c>
      <c r="C53" s="5" t="s">
        <v>104</v>
      </c>
      <c r="D53" s="5" t="s">
        <v>80</v>
      </c>
      <c r="E53" s="5" t="s">
        <v>55</v>
      </c>
      <c r="F53" s="4" t="s">
        <v>60</v>
      </c>
      <c r="G53" s="5" t="s">
        <v>61</v>
      </c>
      <c r="H53" s="6">
        <v>22051633</v>
      </c>
      <c r="I53" s="6">
        <v>17261498</v>
      </c>
      <c r="J53" s="6">
        <v>935697</v>
      </c>
      <c r="K53" s="6">
        <v>19007043</v>
      </c>
      <c r="L53" s="6">
        <v>3868153</v>
      </c>
      <c r="M53" s="6">
        <v>3044590</v>
      </c>
      <c r="N53" s="6">
        <v>97927</v>
      </c>
      <c r="O53" s="7">
        <v>2</v>
      </c>
      <c r="P53" s="7"/>
      <c r="Q53" s="8" t="s">
        <v>105</v>
      </c>
      <c r="R53" s="8" t="s">
        <v>57</v>
      </c>
      <c r="S53" s="9">
        <f t="shared" si="3"/>
        <v>0.78277640481319455</v>
      </c>
      <c r="T53" s="10">
        <f t="shared" si="4"/>
        <v>3.2164265139148454E-2</v>
      </c>
      <c r="U53" t="str">
        <v>Fraco</v>
      </c>
    </row>
    <row r="54" spans="1:21" ht="15.75" customHeight="1" x14ac:dyDescent="0.25">
      <c r="A54" s="4" t="s">
        <v>141</v>
      </c>
      <c r="B54" s="4" t="str">
        <f t="shared" si="2"/>
        <v>Média/Pequena</v>
      </c>
      <c r="C54" s="11" t="s">
        <v>122</v>
      </c>
      <c r="D54" s="11" t="s">
        <v>80</v>
      </c>
      <c r="E54" s="11" t="s">
        <v>55</v>
      </c>
      <c r="F54" s="12" t="s">
        <v>142</v>
      </c>
      <c r="G54" s="11" t="s">
        <v>143</v>
      </c>
      <c r="H54" s="13">
        <v>21876586</v>
      </c>
      <c r="I54" s="13">
        <v>213116</v>
      </c>
      <c r="J54" s="13">
        <v>4099642</v>
      </c>
      <c r="K54" s="13">
        <v>20448056</v>
      </c>
      <c r="L54" s="13">
        <v>693241</v>
      </c>
      <c r="M54" s="13">
        <v>1428530</v>
      </c>
      <c r="N54" s="13">
        <v>37941</v>
      </c>
      <c r="O54" s="14"/>
      <c r="P54" s="14"/>
      <c r="Q54" s="15" t="s">
        <v>123</v>
      </c>
      <c r="R54" s="15" t="s">
        <v>57</v>
      </c>
      <c r="S54" s="16">
        <f t="shared" si="3"/>
        <v>9.741739410344924E-3</v>
      </c>
      <c r="T54" s="17">
        <f t="shared" si="4"/>
        <v>2.6559470224636516E-2</v>
      </c>
      <c r="U54" t="str">
        <v>Fraco</v>
      </c>
    </row>
    <row r="55" spans="1:21" ht="15.75" customHeight="1" x14ac:dyDescent="0.25">
      <c r="A55" s="4" t="s">
        <v>144</v>
      </c>
      <c r="B55" s="4" t="str">
        <f t="shared" si="2"/>
        <v>Média/Pequena</v>
      </c>
      <c r="C55" s="5" t="s">
        <v>53</v>
      </c>
      <c r="D55" s="5" t="s">
        <v>80</v>
      </c>
      <c r="E55" s="5" t="s">
        <v>64</v>
      </c>
      <c r="F55" s="4" t="s">
        <v>60</v>
      </c>
      <c r="G55" s="5" t="s">
        <v>61</v>
      </c>
      <c r="H55" s="6">
        <v>21857120</v>
      </c>
      <c r="I55" s="6">
        <v>13110433</v>
      </c>
      <c r="J55" s="6">
        <v>5275317</v>
      </c>
      <c r="K55" s="6">
        <v>19757549</v>
      </c>
      <c r="L55" s="6">
        <v>17680507</v>
      </c>
      <c r="M55" s="6">
        <v>2099571</v>
      </c>
      <c r="N55" s="6">
        <v>44644</v>
      </c>
      <c r="O55" s="7">
        <v>16</v>
      </c>
      <c r="P55" s="7">
        <v>1</v>
      </c>
      <c r="Q55" s="8" t="s">
        <v>56</v>
      </c>
      <c r="R55" s="8" t="s">
        <v>66</v>
      </c>
      <c r="S55" s="9">
        <f t="shared" si="3"/>
        <v>0.59982435929344757</v>
      </c>
      <c r="T55" s="10">
        <f t="shared" si="4"/>
        <v>2.1263391426153248E-2</v>
      </c>
      <c r="U55" t="str">
        <v>Fraco</v>
      </c>
    </row>
    <row r="56" spans="1:21" ht="15.75" customHeight="1" x14ac:dyDescent="0.25">
      <c r="A56" s="4" t="s">
        <v>145</v>
      </c>
      <c r="B56" s="4" t="str">
        <f t="shared" si="2"/>
        <v>Média/Pequena</v>
      </c>
      <c r="C56" s="11" t="s">
        <v>53</v>
      </c>
      <c r="D56" s="11" t="s">
        <v>80</v>
      </c>
      <c r="E56" s="11" t="s">
        <v>64</v>
      </c>
      <c r="F56" s="12" t="s">
        <v>60</v>
      </c>
      <c r="G56" s="11" t="s">
        <v>61</v>
      </c>
      <c r="H56" s="13">
        <v>21759031</v>
      </c>
      <c r="I56" s="13"/>
      <c r="J56" s="13">
        <v>11204028</v>
      </c>
      <c r="K56" s="13">
        <v>15211098</v>
      </c>
      <c r="L56" s="13">
        <v>5814097</v>
      </c>
      <c r="M56" s="13">
        <v>6547933</v>
      </c>
      <c r="N56" s="13">
        <v>196493</v>
      </c>
      <c r="O56" s="14">
        <v>4</v>
      </c>
      <c r="P56" s="14"/>
      <c r="Q56" s="15" t="s">
        <v>56</v>
      </c>
      <c r="R56" s="15" t="s">
        <v>66</v>
      </c>
      <c r="S56" s="16">
        <f t="shared" si="3"/>
        <v>0</v>
      </c>
      <c r="T56" s="17">
        <f t="shared" si="4"/>
        <v>3.0008401124446447E-2</v>
      </c>
      <c r="U56" t="str">
        <v>Fraco</v>
      </c>
    </row>
    <row r="57" spans="1:21" ht="15.75" customHeight="1" x14ac:dyDescent="0.25">
      <c r="A57" s="4" t="s">
        <v>146</v>
      </c>
      <c r="B57" s="4" t="str">
        <f t="shared" si="2"/>
        <v>Média/Pequena</v>
      </c>
      <c r="C57" s="5" t="s">
        <v>63</v>
      </c>
      <c r="D57" s="5" t="s">
        <v>80</v>
      </c>
      <c r="E57" s="5" t="s">
        <v>55</v>
      </c>
      <c r="F57" s="4" t="s">
        <v>60</v>
      </c>
      <c r="G57" s="5" t="s">
        <v>61</v>
      </c>
      <c r="H57" s="6">
        <v>21462134</v>
      </c>
      <c r="I57" s="6">
        <v>18846716</v>
      </c>
      <c r="J57" s="6">
        <v>471951</v>
      </c>
      <c r="K57" s="6">
        <v>20555834</v>
      </c>
      <c r="L57" s="6">
        <v>4448018</v>
      </c>
      <c r="M57" s="6">
        <v>906300</v>
      </c>
      <c r="N57" s="6">
        <v>25808</v>
      </c>
      <c r="O57" s="7">
        <v>4</v>
      </c>
      <c r="P57" s="7"/>
      <c r="Q57" s="8" t="s">
        <v>65</v>
      </c>
      <c r="R57" s="8" t="s">
        <v>57</v>
      </c>
      <c r="S57" s="9">
        <f t="shared" si="3"/>
        <v>0.87813802672185348</v>
      </c>
      <c r="T57" s="10">
        <f t="shared" si="4"/>
        <v>2.8476222001544742E-2</v>
      </c>
      <c r="U57" t="str">
        <v>Fraco</v>
      </c>
    </row>
    <row r="58" spans="1:21" ht="15.75" customHeight="1" x14ac:dyDescent="0.25">
      <c r="A58" s="4" t="s">
        <v>147</v>
      </c>
      <c r="B58" s="4" t="str">
        <f t="shared" si="2"/>
        <v>Média/Pequena</v>
      </c>
      <c r="C58" s="11" t="s">
        <v>104</v>
      </c>
      <c r="D58" s="11" t="s">
        <v>80</v>
      </c>
      <c r="E58" s="11" t="s">
        <v>64</v>
      </c>
      <c r="F58" s="12" t="s">
        <v>148</v>
      </c>
      <c r="G58" s="11" t="s">
        <v>61</v>
      </c>
      <c r="H58" s="13">
        <v>20025688</v>
      </c>
      <c r="I58" s="13">
        <v>18452435</v>
      </c>
      <c r="J58" s="13">
        <v>287109</v>
      </c>
      <c r="K58" s="13">
        <v>17685320</v>
      </c>
      <c r="L58" s="13">
        <v>16754284</v>
      </c>
      <c r="M58" s="13">
        <v>2340368</v>
      </c>
      <c r="N58" s="13">
        <v>22494</v>
      </c>
      <c r="O58" s="14">
        <v>4</v>
      </c>
      <c r="P58" s="14"/>
      <c r="Q58" s="15" t="s">
        <v>105</v>
      </c>
      <c r="R58" s="15" t="s">
        <v>66</v>
      </c>
      <c r="S58" s="16">
        <f t="shared" si="3"/>
        <v>0.9214382547056561</v>
      </c>
      <c r="T58" s="17">
        <f t="shared" si="4"/>
        <v>9.6113089907228257E-3</v>
      </c>
      <c r="U58" t="str">
        <v>Fraco</v>
      </c>
    </row>
    <row r="59" spans="1:21" ht="15.75" customHeight="1" x14ac:dyDescent="0.25">
      <c r="A59" s="4" t="s">
        <v>149</v>
      </c>
      <c r="B59" s="4" t="str">
        <f t="shared" si="2"/>
        <v>Média/Pequena</v>
      </c>
      <c r="C59" s="5" t="s">
        <v>53</v>
      </c>
      <c r="D59" s="5" t="s">
        <v>80</v>
      </c>
      <c r="E59" s="5" t="s">
        <v>64</v>
      </c>
      <c r="F59" s="4" t="s">
        <v>60</v>
      </c>
      <c r="G59" s="5" t="s">
        <v>61</v>
      </c>
      <c r="H59" s="6">
        <v>19614650</v>
      </c>
      <c r="I59" s="6">
        <v>9042130</v>
      </c>
      <c r="J59" s="6">
        <v>4275886</v>
      </c>
      <c r="K59" s="6">
        <v>16771520</v>
      </c>
      <c r="L59" s="6">
        <v>14268202</v>
      </c>
      <c r="M59" s="6">
        <v>2843130</v>
      </c>
      <c r="N59" s="6">
        <v>70919</v>
      </c>
      <c r="O59" s="7">
        <v>2</v>
      </c>
      <c r="P59" s="7"/>
      <c r="Q59" s="8" t="s">
        <v>56</v>
      </c>
      <c r="R59" s="8" t="s">
        <v>66</v>
      </c>
      <c r="S59" s="9">
        <f t="shared" si="3"/>
        <v>0.46098859780827084</v>
      </c>
      <c r="T59" s="10">
        <f t="shared" si="4"/>
        <v>2.4943987788106768E-2</v>
      </c>
      <c r="U59" t="str">
        <v>Fraco</v>
      </c>
    </row>
    <row r="60" spans="1:21" ht="15.75" customHeight="1" x14ac:dyDescent="0.25">
      <c r="A60" s="4" t="s">
        <v>150</v>
      </c>
      <c r="B60" s="4" t="str">
        <f t="shared" si="2"/>
        <v>Média/Pequena</v>
      </c>
      <c r="C60" s="11" t="s">
        <v>53</v>
      </c>
      <c r="D60" s="11" t="s">
        <v>80</v>
      </c>
      <c r="E60" s="11" t="s">
        <v>47</v>
      </c>
      <c r="F60" s="12" t="s">
        <v>101</v>
      </c>
      <c r="G60" s="11" t="s">
        <v>102</v>
      </c>
      <c r="H60" s="13">
        <v>19575513</v>
      </c>
      <c r="I60" s="13">
        <v>15109179</v>
      </c>
      <c r="J60" s="13">
        <v>1666527</v>
      </c>
      <c r="K60" s="13">
        <v>17353583</v>
      </c>
      <c r="L60" s="13">
        <v>16417998</v>
      </c>
      <c r="M60" s="13">
        <v>2221930</v>
      </c>
      <c r="N60" s="13">
        <v>24474</v>
      </c>
      <c r="O60" s="14">
        <v>165</v>
      </c>
      <c r="P60" s="14">
        <v>34</v>
      </c>
      <c r="Q60" s="15" t="s">
        <v>56</v>
      </c>
      <c r="R60" s="15" t="s">
        <v>51</v>
      </c>
      <c r="S60" s="16">
        <f t="shared" si="3"/>
        <v>0.7718407686174048</v>
      </c>
      <c r="T60" s="17">
        <f t="shared" si="4"/>
        <v>1.1014748439419783E-2</v>
      </c>
      <c r="U60" t="str">
        <v>Fraco</v>
      </c>
    </row>
    <row r="61" spans="1:21" ht="15.75" customHeight="1" x14ac:dyDescent="0.25">
      <c r="A61" s="4" t="s">
        <v>151</v>
      </c>
      <c r="B61" s="4" t="str">
        <f t="shared" si="2"/>
        <v>Média/Pequena</v>
      </c>
      <c r="C61" s="5" t="s">
        <v>122</v>
      </c>
      <c r="D61" s="5" t="s">
        <v>80</v>
      </c>
      <c r="E61" s="5" t="s">
        <v>55</v>
      </c>
      <c r="F61" s="4" t="s">
        <v>152</v>
      </c>
      <c r="G61" s="5" t="s">
        <v>61</v>
      </c>
      <c r="H61" s="6">
        <v>18080663</v>
      </c>
      <c r="I61" s="6"/>
      <c r="J61" s="6">
        <v>1988345</v>
      </c>
      <c r="K61" s="6">
        <v>17280179</v>
      </c>
      <c r="L61" s="6">
        <v>1011481</v>
      </c>
      <c r="M61" s="6">
        <v>800485</v>
      </c>
      <c r="N61" s="6">
        <v>27470</v>
      </c>
      <c r="O61" s="7"/>
      <c r="P61" s="7"/>
      <c r="Q61" s="8" t="s">
        <v>123</v>
      </c>
      <c r="R61" s="8" t="s">
        <v>57</v>
      </c>
      <c r="S61" s="9">
        <f t="shared" si="3"/>
        <v>0</v>
      </c>
      <c r="T61" s="10">
        <f t="shared" si="4"/>
        <v>3.4316695503351091E-2</v>
      </c>
      <c r="U61" t="str">
        <v>Fraco</v>
      </c>
    </row>
    <row r="62" spans="1:21" ht="15.75" customHeight="1" x14ac:dyDescent="0.25">
      <c r="A62" s="4" t="s">
        <v>153</v>
      </c>
      <c r="B62" s="4" t="str">
        <f t="shared" si="2"/>
        <v>Média/Pequena</v>
      </c>
      <c r="C62" s="11" t="s">
        <v>53</v>
      </c>
      <c r="D62" s="11" t="s">
        <v>80</v>
      </c>
      <c r="E62" s="11" t="s">
        <v>64</v>
      </c>
      <c r="F62" s="12" t="s">
        <v>60</v>
      </c>
      <c r="G62" s="11" t="s">
        <v>61</v>
      </c>
      <c r="H62" s="13">
        <v>17933037</v>
      </c>
      <c r="I62" s="13">
        <v>5792380</v>
      </c>
      <c r="J62" s="13">
        <v>2751644</v>
      </c>
      <c r="K62" s="13">
        <v>11266374</v>
      </c>
      <c r="L62" s="13">
        <v>4233064</v>
      </c>
      <c r="M62" s="13">
        <v>6666663</v>
      </c>
      <c r="N62" s="20">
        <v>-61925</v>
      </c>
      <c r="O62" s="14">
        <v>15</v>
      </c>
      <c r="P62" s="14"/>
      <c r="Q62" s="15" t="s">
        <v>56</v>
      </c>
      <c r="R62" s="15" t="s">
        <v>66</v>
      </c>
      <c r="S62" s="16">
        <f t="shared" si="3"/>
        <v>0.32300050459941615</v>
      </c>
      <c r="T62" s="21">
        <f t="shared" si="4"/>
        <v>-9.2887551088153102E-3</v>
      </c>
      <c r="U62" t="str">
        <v>Prejuizo</v>
      </c>
    </row>
    <row r="63" spans="1:21" ht="15.75" customHeight="1" x14ac:dyDescent="0.25">
      <c r="A63" s="4" t="s">
        <v>154</v>
      </c>
      <c r="B63" s="4" t="str">
        <f t="shared" si="2"/>
        <v>Média/Pequena</v>
      </c>
      <c r="C63" s="5" t="s">
        <v>155</v>
      </c>
      <c r="D63" s="5" t="s">
        <v>80</v>
      </c>
      <c r="E63" s="5" t="s">
        <v>55</v>
      </c>
      <c r="F63" s="4" t="s">
        <v>156</v>
      </c>
      <c r="G63" s="5" t="s">
        <v>61</v>
      </c>
      <c r="H63" s="6">
        <v>17846723</v>
      </c>
      <c r="I63" s="6">
        <v>8943270</v>
      </c>
      <c r="J63" s="6">
        <v>2627963</v>
      </c>
      <c r="K63" s="6">
        <v>14388965</v>
      </c>
      <c r="L63" s="6">
        <v>12666218</v>
      </c>
      <c r="M63" s="6">
        <v>3457757</v>
      </c>
      <c r="N63" s="6">
        <v>104181</v>
      </c>
      <c r="O63" s="7"/>
      <c r="P63" s="7">
        <v>127</v>
      </c>
      <c r="Q63" s="8" t="s">
        <v>157</v>
      </c>
      <c r="R63" s="8" t="s">
        <v>57</v>
      </c>
      <c r="S63" s="9">
        <f t="shared" si="3"/>
        <v>0.50111552692334604</v>
      </c>
      <c r="T63" s="10">
        <f t="shared" si="4"/>
        <v>3.0129647629952017E-2</v>
      </c>
      <c r="U63" t="str">
        <v>Fraco</v>
      </c>
    </row>
    <row r="64" spans="1:21" ht="15.75" customHeight="1" x14ac:dyDescent="0.25">
      <c r="A64" s="4" t="s">
        <v>158</v>
      </c>
      <c r="B64" s="4" t="str">
        <f t="shared" si="2"/>
        <v>Média/Pequena</v>
      </c>
      <c r="C64" s="11" t="s">
        <v>53</v>
      </c>
      <c r="D64" s="11" t="s">
        <v>80</v>
      </c>
      <c r="E64" s="11" t="s">
        <v>55</v>
      </c>
      <c r="F64" s="12" t="s">
        <v>60</v>
      </c>
      <c r="G64" s="11" t="s">
        <v>61</v>
      </c>
      <c r="H64" s="13">
        <v>17713546</v>
      </c>
      <c r="I64" s="13">
        <v>5235958</v>
      </c>
      <c r="J64" s="13">
        <v>8413829</v>
      </c>
      <c r="K64" s="13">
        <v>16490698</v>
      </c>
      <c r="L64" s="13">
        <v>15257157</v>
      </c>
      <c r="M64" s="13">
        <v>1222848</v>
      </c>
      <c r="N64" s="13">
        <v>34816</v>
      </c>
      <c r="O64" s="14">
        <v>2</v>
      </c>
      <c r="P64" s="14"/>
      <c r="Q64" s="15" t="s">
        <v>56</v>
      </c>
      <c r="R64" s="15" t="s">
        <v>57</v>
      </c>
      <c r="S64" s="16">
        <f t="shared" si="3"/>
        <v>0.29559061748562371</v>
      </c>
      <c r="T64" s="17">
        <f t="shared" si="4"/>
        <v>2.8471240906474068E-2</v>
      </c>
      <c r="U64" t="str">
        <v>Fraco</v>
      </c>
    </row>
    <row r="65" spans="1:21" ht="15.75" customHeight="1" x14ac:dyDescent="0.25">
      <c r="A65" s="4" t="s">
        <v>159</v>
      </c>
      <c r="B65" s="4" t="str">
        <f t="shared" si="2"/>
        <v>Média/Pequena</v>
      </c>
      <c r="C65" s="5" t="s">
        <v>63</v>
      </c>
      <c r="D65" s="5" t="s">
        <v>80</v>
      </c>
      <c r="E65" s="5" t="s">
        <v>64</v>
      </c>
      <c r="F65" s="4" t="s">
        <v>91</v>
      </c>
      <c r="G65" s="5" t="s">
        <v>61</v>
      </c>
      <c r="H65" s="6">
        <v>17269558</v>
      </c>
      <c r="I65" s="6">
        <v>7722363</v>
      </c>
      <c r="J65" s="6">
        <v>1616583</v>
      </c>
      <c r="K65" s="6">
        <v>15768380</v>
      </c>
      <c r="L65" s="6">
        <v>13406652</v>
      </c>
      <c r="M65" s="6">
        <v>1501178</v>
      </c>
      <c r="N65" s="6">
        <v>103428</v>
      </c>
      <c r="O65" s="7">
        <v>2</v>
      </c>
      <c r="P65" s="7"/>
      <c r="Q65" s="8" t="s">
        <v>65</v>
      </c>
      <c r="R65" s="8" t="s">
        <v>66</v>
      </c>
      <c r="S65" s="9">
        <f t="shared" si="3"/>
        <v>0.44716622162535952</v>
      </c>
      <c r="T65" s="10">
        <f t="shared" si="4"/>
        <v>6.8897892188667834E-2</v>
      </c>
      <c r="U65" t="str">
        <v>Fraco</v>
      </c>
    </row>
    <row r="66" spans="1:21" ht="15.75" customHeight="1" x14ac:dyDescent="0.25">
      <c r="A66" s="4" t="s">
        <v>160</v>
      </c>
      <c r="B66" s="4" t="str">
        <f t="shared" si="2"/>
        <v>Média/Pequena</v>
      </c>
      <c r="C66" s="11" t="s">
        <v>104</v>
      </c>
      <c r="D66" s="11" t="s">
        <v>80</v>
      </c>
      <c r="E66" s="11" t="s">
        <v>64</v>
      </c>
      <c r="F66" s="12" t="s">
        <v>134</v>
      </c>
      <c r="G66" s="11" t="s">
        <v>135</v>
      </c>
      <c r="H66" s="13">
        <v>17084638</v>
      </c>
      <c r="I66" s="13">
        <v>14191016</v>
      </c>
      <c r="J66" s="13">
        <v>1715640</v>
      </c>
      <c r="K66" s="13">
        <v>13192684</v>
      </c>
      <c r="L66" s="13">
        <v>13072910</v>
      </c>
      <c r="M66" s="13">
        <v>3891955</v>
      </c>
      <c r="N66" s="13">
        <v>103962</v>
      </c>
      <c r="O66" s="14">
        <v>2</v>
      </c>
      <c r="P66" s="14"/>
      <c r="Q66" s="15" t="s">
        <v>105</v>
      </c>
      <c r="R66" s="15" t="s">
        <v>66</v>
      </c>
      <c r="S66" s="16">
        <f t="shared" si="3"/>
        <v>0.83063018367728947</v>
      </c>
      <c r="T66" s="17">
        <f t="shared" si="4"/>
        <v>2.6712025190424864E-2</v>
      </c>
      <c r="U66" t="str">
        <v>Fraco</v>
      </c>
    </row>
    <row r="67" spans="1:21" ht="15.75" customHeight="1" x14ac:dyDescent="0.25">
      <c r="A67" s="4" t="s">
        <v>161</v>
      </c>
      <c r="B67" s="4" t="str">
        <f t="shared" si="2"/>
        <v>Média/Pequena</v>
      </c>
      <c r="C67" s="5" t="s">
        <v>53</v>
      </c>
      <c r="D67" s="5" t="s">
        <v>54</v>
      </c>
      <c r="E67" s="5" t="s">
        <v>55</v>
      </c>
      <c r="F67" s="4" t="s">
        <v>91</v>
      </c>
      <c r="G67" s="5" t="s">
        <v>61</v>
      </c>
      <c r="H67" s="6">
        <v>16893323</v>
      </c>
      <c r="I67" s="6">
        <v>16003725</v>
      </c>
      <c r="J67" s="6"/>
      <c r="K67" s="6">
        <v>12705625</v>
      </c>
      <c r="L67" s="6">
        <v>12343274</v>
      </c>
      <c r="M67" s="6">
        <v>4187697</v>
      </c>
      <c r="N67" s="18">
        <v>-41312</v>
      </c>
      <c r="O67" s="7">
        <v>2</v>
      </c>
      <c r="P67" s="7"/>
      <c r="Q67" s="8" t="s">
        <v>56</v>
      </c>
      <c r="R67" s="8" t="s">
        <v>57</v>
      </c>
      <c r="S67" s="9">
        <f t="shared" si="3"/>
        <v>0.94734025981744385</v>
      </c>
      <c r="T67" s="19">
        <f t="shared" si="4"/>
        <v>-9.8650881379431232E-3</v>
      </c>
      <c r="U67" t="str">
        <v>Prejuizo</v>
      </c>
    </row>
    <row r="68" spans="1:21" ht="15.75" customHeight="1" x14ac:dyDescent="0.25">
      <c r="A68" s="4" t="s">
        <v>162</v>
      </c>
      <c r="B68" s="4" t="str">
        <f t="shared" si="2"/>
        <v>Média/Pequena</v>
      </c>
      <c r="C68" s="11" t="s">
        <v>104</v>
      </c>
      <c r="D68" s="11" t="s">
        <v>80</v>
      </c>
      <c r="E68" s="11" t="s">
        <v>64</v>
      </c>
      <c r="F68" s="12" t="s">
        <v>60</v>
      </c>
      <c r="G68" s="11" t="s">
        <v>61</v>
      </c>
      <c r="H68" s="13">
        <v>16447170</v>
      </c>
      <c r="I68" s="13">
        <v>12790534</v>
      </c>
      <c r="J68" s="13">
        <v>162839</v>
      </c>
      <c r="K68" s="13">
        <v>13777727</v>
      </c>
      <c r="L68" s="13">
        <v>11772425</v>
      </c>
      <c r="M68" s="13">
        <v>2669443</v>
      </c>
      <c r="N68" s="13">
        <v>87211</v>
      </c>
      <c r="O68" s="14">
        <v>2</v>
      </c>
      <c r="P68" s="14"/>
      <c r="Q68" s="15" t="s">
        <v>105</v>
      </c>
      <c r="R68" s="15" t="s">
        <v>66</v>
      </c>
      <c r="S68" s="16">
        <f t="shared" si="3"/>
        <v>0.77767384905731507</v>
      </c>
      <c r="T68" s="17">
        <f t="shared" si="4"/>
        <v>3.2670111330341201E-2</v>
      </c>
      <c r="U68" t="str">
        <v>Fraco</v>
      </c>
    </row>
    <row r="69" spans="1:21" ht="15.75" customHeight="1" x14ac:dyDescent="0.25">
      <c r="A69" s="4" t="s">
        <v>163</v>
      </c>
      <c r="B69" s="4" t="str">
        <f t="shared" si="2"/>
        <v>Média/Pequena</v>
      </c>
      <c r="C69" s="5" t="s">
        <v>104</v>
      </c>
      <c r="D69" s="5" t="s">
        <v>80</v>
      </c>
      <c r="E69" s="5" t="s">
        <v>64</v>
      </c>
      <c r="F69" s="4" t="s">
        <v>148</v>
      </c>
      <c r="G69" s="5" t="s">
        <v>61</v>
      </c>
      <c r="H69" s="6">
        <v>16176506</v>
      </c>
      <c r="I69" s="6">
        <v>15418142</v>
      </c>
      <c r="J69" s="6">
        <v>985</v>
      </c>
      <c r="K69" s="6">
        <v>14838414</v>
      </c>
      <c r="L69" s="6">
        <v>14711993</v>
      </c>
      <c r="M69" s="6">
        <v>1338092</v>
      </c>
      <c r="N69" s="18">
        <v>-18024</v>
      </c>
      <c r="O69" s="7">
        <v>2</v>
      </c>
      <c r="P69" s="7"/>
      <c r="Q69" s="8" t="s">
        <v>105</v>
      </c>
      <c r="R69" s="8" t="s">
        <v>66</v>
      </c>
      <c r="S69" s="9">
        <f t="shared" ref="S69:S104" si="5">I69/H69</f>
        <v>0.95311941898949004</v>
      </c>
      <c r="T69" s="19">
        <f t="shared" ref="T69:T104" si="6">N69/M69</f>
        <v>-1.3469925834695969E-2</v>
      </c>
      <c r="U69" t="str">
        <v>Prejuizo</v>
      </c>
    </row>
    <row r="70" spans="1:21" ht="15.75" customHeight="1" x14ac:dyDescent="0.25">
      <c r="A70" s="4" t="s">
        <v>164</v>
      </c>
      <c r="B70" s="4" t="str">
        <f t="shared" ref="B70:B104" si="7">IF(H70&gt;= 100000000, "Grande", "Média/Pequena" )</f>
        <v>Média/Pequena</v>
      </c>
      <c r="C70" s="11" t="s">
        <v>122</v>
      </c>
      <c r="D70" s="11" t="s">
        <v>80</v>
      </c>
      <c r="E70" s="11" t="s">
        <v>55</v>
      </c>
      <c r="F70" s="12" t="s">
        <v>165</v>
      </c>
      <c r="G70" s="11" t="s">
        <v>135</v>
      </c>
      <c r="H70" s="13">
        <v>16034445</v>
      </c>
      <c r="I70" s="13">
        <v>78096</v>
      </c>
      <c r="J70" s="13">
        <v>4019548</v>
      </c>
      <c r="K70" s="13">
        <v>15366044</v>
      </c>
      <c r="L70" s="13">
        <v>9488950</v>
      </c>
      <c r="M70" s="13">
        <v>668402</v>
      </c>
      <c r="N70" s="13">
        <v>7243</v>
      </c>
      <c r="O70" s="14"/>
      <c r="P70" s="14"/>
      <c r="Q70" s="15" t="s">
        <v>123</v>
      </c>
      <c r="R70" s="15" t="s">
        <v>57</v>
      </c>
      <c r="S70" s="16">
        <f t="shared" si="5"/>
        <v>4.8705146950829914E-3</v>
      </c>
      <c r="T70" s="17">
        <f t="shared" si="6"/>
        <v>1.0836293128985252E-2</v>
      </c>
      <c r="U70" t="str">
        <v>Fraco</v>
      </c>
    </row>
    <row r="71" spans="1:21" ht="15.75" customHeight="1" x14ac:dyDescent="0.25">
      <c r="A71" s="4" t="s">
        <v>166</v>
      </c>
      <c r="B71" s="4" t="str">
        <f t="shared" si="7"/>
        <v>Média/Pequena</v>
      </c>
      <c r="C71" s="5" t="s">
        <v>104</v>
      </c>
      <c r="D71" s="5" t="s">
        <v>127</v>
      </c>
      <c r="E71" s="5" t="s">
        <v>55</v>
      </c>
      <c r="F71" s="4" t="s">
        <v>60</v>
      </c>
      <c r="G71" s="5" t="s">
        <v>61</v>
      </c>
      <c r="H71" s="6">
        <v>15944747</v>
      </c>
      <c r="I71" s="6">
        <v>455055</v>
      </c>
      <c r="J71" s="6">
        <v>13861574</v>
      </c>
      <c r="K71" s="6">
        <v>15240642</v>
      </c>
      <c r="L71" s="6">
        <v>14176030</v>
      </c>
      <c r="M71" s="6">
        <v>704105</v>
      </c>
      <c r="N71" s="6">
        <v>12688</v>
      </c>
      <c r="O71" s="7">
        <v>2</v>
      </c>
      <c r="P71" s="7"/>
      <c r="Q71" s="8" t="s">
        <v>105</v>
      </c>
      <c r="R71" s="8" t="s">
        <v>57</v>
      </c>
      <c r="S71" s="9">
        <f t="shared" si="5"/>
        <v>2.8539493288918288E-2</v>
      </c>
      <c r="T71" s="10">
        <f t="shared" si="6"/>
        <v>1.8020039624771875E-2</v>
      </c>
      <c r="U71" t="str">
        <v>Fraco</v>
      </c>
    </row>
    <row r="72" spans="1:21" ht="15.75" customHeight="1" x14ac:dyDescent="0.25">
      <c r="A72" s="4" t="s">
        <v>167</v>
      </c>
      <c r="B72" s="4" t="str">
        <f t="shared" si="7"/>
        <v>Média/Pequena</v>
      </c>
      <c r="C72" s="11" t="s">
        <v>155</v>
      </c>
      <c r="D72" s="11" t="s">
        <v>80</v>
      </c>
      <c r="E72" s="11" t="s">
        <v>55</v>
      </c>
      <c r="F72" s="12" t="s">
        <v>168</v>
      </c>
      <c r="G72" s="11" t="s">
        <v>143</v>
      </c>
      <c r="H72" s="13">
        <v>15711392</v>
      </c>
      <c r="I72" s="13">
        <v>8362702</v>
      </c>
      <c r="J72" s="13">
        <v>660328</v>
      </c>
      <c r="K72" s="13">
        <v>12354405</v>
      </c>
      <c r="L72" s="13">
        <v>11305444</v>
      </c>
      <c r="M72" s="13">
        <v>3356987</v>
      </c>
      <c r="N72" s="13">
        <v>96764</v>
      </c>
      <c r="O72" s="14"/>
      <c r="P72" s="14">
        <v>115</v>
      </c>
      <c r="Q72" s="15" t="s">
        <v>157</v>
      </c>
      <c r="R72" s="15" t="s">
        <v>57</v>
      </c>
      <c r="S72" s="16">
        <f t="shared" si="5"/>
        <v>0.5322699605483715</v>
      </c>
      <c r="T72" s="17">
        <f t="shared" si="6"/>
        <v>2.8824657348985861E-2</v>
      </c>
      <c r="U72" t="str">
        <v>Fraco</v>
      </c>
    </row>
    <row r="73" spans="1:21" ht="15.75" customHeight="1" x14ac:dyDescent="0.25">
      <c r="A73" s="4" t="s">
        <v>169</v>
      </c>
      <c r="B73" s="4" t="str">
        <f t="shared" si="7"/>
        <v>Média/Pequena</v>
      </c>
      <c r="C73" s="5" t="s">
        <v>53</v>
      </c>
      <c r="D73" s="5" t="s">
        <v>80</v>
      </c>
      <c r="E73" s="5" t="s">
        <v>64</v>
      </c>
      <c r="F73" s="4" t="s">
        <v>60</v>
      </c>
      <c r="G73" s="5" t="s">
        <v>61</v>
      </c>
      <c r="H73" s="6">
        <v>15085536</v>
      </c>
      <c r="I73" s="6">
        <v>4082004</v>
      </c>
      <c r="J73" s="6">
        <v>4517853</v>
      </c>
      <c r="K73" s="6">
        <v>12185920</v>
      </c>
      <c r="L73" s="6">
        <v>8410657</v>
      </c>
      <c r="M73" s="6">
        <v>2899615</v>
      </c>
      <c r="N73" s="6">
        <v>14613</v>
      </c>
      <c r="O73" s="7">
        <v>2</v>
      </c>
      <c r="P73" s="7"/>
      <c r="Q73" s="8" t="s">
        <v>56</v>
      </c>
      <c r="R73" s="8" t="s">
        <v>66</v>
      </c>
      <c r="S73" s="9">
        <f t="shared" si="5"/>
        <v>0.27059058425235932</v>
      </c>
      <c r="T73" s="10">
        <f t="shared" si="6"/>
        <v>5.0396345721759614E-3</v>
      </c>
      <c r="U73" t="str">
        <v>Fraco</v>
      </c>
    </row>
    <row r="74" spans="1:21" ht="15.75" customHeight="1" x14ac:dyDescent="0.25">
      <c r="A74" s="4" t="s">
        <v>170</v>
      </c>
      <c r="B74" s="4" t="str">
        <f t="shared" si="7"/>
        <v>Média/Pequena</v>
      </c>
      <c r="C74" s="11" t="s">
        <v>122</v>
      </c>
      <c r="D74" s="11" t="s">
        <v>80</v>
      </c>
      <c r="E74" s="11" t="s">
        <v>55</v>
      </c>
      <c r="F74" s="12" t="s">
        <v>60</v>
      </c>
      <c r="G74" s="11" t="s">
        <v>61</v>
      </c>
      <c r="H74" s="13">
        <v>14948184</v>
      </c>
      <c r="I74" s="13"/>
      <c r="J74" s="13">
        <v>8940084</v>
      </c>
      <c r="K74" s="13">
        <v>14278081</v>
      </c>
      <c r="L74" s="13"/>
      <c r="M74" s="13">
        <v>670103</v>
      </c>
      <c r="N74" s="13">
        <v>1683</v>
      </c>
      <c r="O74" s="14"/>
      <c r="P74" s="14">
        <v>1</v>
      </c>
      <c r="Q74" s="15" t="s">
        <v>123</v>
      </c>
      <c r="R74" s="15" t="s">
        <v>57</v>
      </c>
      <c r="S74" s="16">
        <f t="shared" si="5"/>
        <v>0</v>
      </c>
      <c r="T74" s="17">
        <f t="shared" si="6"/>
        <v>2.5115541939075038E-3</v>
      </c>
      <c r="U74" t="str">
        <v>Fraco</v>
      </c>
    </row>
    <row r="75" spans="1:21" ht="15.75" customHeight="1" x14ac:dyDescent="0.25">
      <c r="A75" s="4" t="s">
        <v>171</v>
      </c>
      <c r="B75" s="4" t="str">
        <f t="shared" si="7"/>
        <v>Média/Pequena</v>
      </c>
      <c r="C75" s="5" t="s">
        <v>45</v>
      </c>
      <c r="D75" s="5" t="s">
        <v>80</v>
      </c>
      <c r="E75" s="5" t="s">
        <v>47</v>
      </c>
      <c r="F75" s="4" t="s">
        <v>88</v>
      </c>
      <c r="G75" s="5" t="s">
        <v>89</v>
      </c>
      <c r="H75" s="6">
        <v>14590430</v>
      </c>
      <c r="I75" s="6">
        <v>7476262</v>
      </c>
      <c r="J75" s="6">
        <v>5318957</v>
      </c>
      <c r="K75" s="6">
        <v>12237905</v>
      </c>
      <c r="L75" s="6">
        <v>10925783</v>
      </c>
      <c r="M75" s="6">
        <v>2352525</v>
      </c>
      <c r="N75" s="6">
        <v>62402</v>
      </c>
      <c r="O75" s="7">
        <v>2</v>
      </c>
      <c r="P75" s="7"/>
      <c r="Q75" s="8" t="s">
        <v>50</v>
      </c>
      <c r="R75" s="8" t="s">
        <v>51</v>
      </c>
      <c r="S75" s="9">
        <f t="shared" si="5"/>
        <v>0.51240861304293295</v>
      </c>
      <c r="T75" s="10">
        <f t="shared" si="6"/>
        <v>2.6525541705189105E-2</v>
      </c>
      <c r="U75" t="str">
        <v>Fraco</v>
      </c>
    </row>
    <row r="76" spans="1:21" ht="15.75" customHeight="1" x14ac:dyDescent="0.25">
      <c r="A76" s="4" t="s">
        <v>172</v>
      </c>
      <c r="B76" s="4" t="str">
        <f t="shared" si="7"/>
        <v>Média/Pequena</v>
      </c>
      <c r="C76" s="11" t="s">
        <v>53</v>
      </c>
      <c r="D76" s="11" t="s">
        <v>80</v>
      </c>
      <c r="E76" s="11" t="s">
        <v>64</v>
      </c>
      <c r="F76" s="12" t="s">
        <v>60</v>
      </c>
      <c r="G76" s="11" t="s">
        <v>61</v>
      </c>
      <c r="H76" s="13">
        <v>14513239</v>
      </c>
      <c r="I76" s="13">
        <v>3163593</v>
      </c>
      <c r="J76" s="13">
        <v>6674458</v>
      </c>
      <c r="K76" s="13">
        <v>13201378</v>
      </c>
      <c r="L76" s="13">
        <v>12322321</v>
      </c>
      <c r="M76" s="13">
        <v>1311861</v>
      </c>
      <c r="N76" s="13">
        <v>38659</v>
      </c>
      <c r="O76" s="14">
        <v>2</v>
      </c>
      <c r="P76" s="14"/>
      <c r="Q76" s="15" t="s">
        <v>56</v>
      </c>
      <c r="R76" s="15" t="s">
        <v>66</v>
      </c>
      <c r="S76" s="16">
        <f t="shared" si="5"/>
        <v>0.21797980450814597</v>
      </c>
      <c r="T76" s="17">
        <f t="shared" si="6"/>
        <v>2.9468823297590218E-2</v>
      </c>
      <c r="U76" t="str">
        <v>Fraco</v>
      </c>
    </row>
    <row r="77" spans="1:21" ht="15.75" customHeight="1" x14ac:dyDescent="0.25">
      <c r="A77" s="4" t="s">
        <v>173</v>
      </c>
      <c r="B77" s="4" t="str">
        <f t="shared" si="7"/>
        <v>Média/Pequena</v>
      </c>
      <c r="C77" s="5" t="s">
        <v>53</v>
      </c>
      <c r="D77" s="5" t="s">
        <v>80</v>
      </c>
      <c r="E77" s="5" t="s">
        <v>64</v>
      </c>
      <c r="F77" s="4" t="s">
        <v>60</v>
      </c>
      <c r="G77" s="5" t="s">
        <v>61</v>
      </c>
      <c r="H77" s="6">
        <v>14294329</v>
      </c>
      <c r="I77" s="6">
        <v>4495631</v>
      </c>
      <c r="J77" s="6">
        <v>4058217</v>
      </c>
      <c r="K77" s="6">
        <v>12855824</v>
      </c>
      <c r="L77" s="6">
        <v>10630769</v>
      </c>
      <c r="M77" s="6">
        <v>1438505</v>
      </c>
      <c r="N77" s="6">
        <v>4630</v>
      </c>
      <c r="O77" s="7">
        <v>2</v>
      </c>
      <c r="P77" s="7"/>
      <c r="Q77" s="8" t="s">
        <v>56</v>
      </c>
      <c r="R77" s="8" t="s">
        <v>66</v>
      </c>
      <c r="S77" s="9">
        <f t="shared" si="5"/>
        <v>0.31450451434271592</v>
      </c>
      <c r="T77" s="10">
        <f t="shared" si="6"/>
        <v>3.2186193304854691E-3</v>
      </c>
      <c r="U77" t="str">
        <v>Fraco</v>
      </c>
    </row>
    <row r="78" spans="1:21" ht="15.75" customHeight="1" x14ac:dyDescent="0.25">
      <c r="A78" s="4" t="s">
        <v>174</v>
      </c>
      <c r="B78" s="4" t="str">
        <f t="shared" si="7"/>
        <v>Média/Pequena</v>
      </c>
      <c r="C78" s="11" t="s">
        <v>53</v>
      </c>
      <c r="D78" s="11" t="s">
        <v>80</v>
      </c>
      <c r="E78" s="11" t="s">
        <v>64</v>
      </c>
      <c r="F78" s="12" t="s">
        <v>60</v>
      </c>
      <c r="G78" s="11" t="s">
        <v>61</v>
      </c>
      <c r="H78" s="13">
        <v>14264201</v>
      </c>
      <c r="I78" s="13">
        <v>1898650</v>
      </c>
      <c r="J78" s="13">
        <v>4788186</v>
      </c>
      <c r="K78" s="13">
        <v>12649288</v>
      </c>
      <c r="L78" s="13">
        <v>11645141</v>
      </c>
      <c r="M78" s="13">
        <v>1614914</v>
      </c>
      <c r="N78" s="13">
        <v>34075</v>
      </c>
      <c r="O78" s="14">
        <v>2</v>
      </c>
      <c r="P78" s="14"/>
      <c r="Q78" s="15" t="s">
        <v>56</v>
      </c>
      <c r="R78" s="15" t="s">
        <v>66</v>
      </c>
      <c r="S78" s="16">
        <f t="shared" si="5"/>
        <v>0.13310594824063401</v>
      </c>
      <c r="T78" s="17">
        <f t="shared" si="6"/>
        <v>2.1100194809135348E-2</v>
      </c>
      <c r="U78" t="str">
        <v>Fraco</v>
      </c>
    </row>
    <row r="79" spans="1:21" ht="15.75" customHeight="1" x14ac:dyDescent="0.25">
      <c r="A79" s="4" t="s">
        <v>175</v>
      </c>
      <c r="B79" s="4" t="str">
        <f t="shared" si="7"/>
        <v>Média/Pequena</v>
      </c>
      <c r="C79" s="5" t="s">
        <v>104</v>
      </c>
      <c r="D79" s="5" t="s">
        <v>80</v>
      </c>
      <c r="E79" s="5" t="s">
        <v>64</v>
      </c>
      <c r="F79" s="4" t="s">
        <v>68</v>
      </c>
      <c r="G79" s="5" t="s">
        <v>69</v>
      </c>
      <c r="H79" s="6">
        <v>13819497</v>
      </c>
      <c r="I79" s="6">
        <v>12484776</v>
      </c>
      <c r="J79" s="6"/>
      <c r="K79" s="6">
        <v>12662696</v>
      </c>
      <c r="L79" s="6">
        <v>11444805</v>
      </c>
      <c r="M79" s="6">
        <v>1156801</v>
      </c>
      <c r="N79" s="18">
        <v>-106807</v>
      </c>
      <c r="O79" s="7">
        <v>3</v>
      </c>
      <c r="P79" s="7"/>
      <c r="Q79" s="8" t="s">
        <v>105</v>
      </c>
      <c r="R79" s="8" t="s">
        <v>66</v>
      </c>
      <c r="S79" s="9">
        <f t="shared" si="5"/>
        <v>0.90341754117389361</v>
      </c>
      <c r="T79" s="19">
        <f t="shared" si="6"/>
        <v>-9.2329622813258294E-2</v>
      </c>
      <c r="U79" t="str">
        <v>Prejuizo</v>
      </c>
    </row>
    <row r="80" spans="1:21" ht="15.75" customHeight="1" x14ac:dyDescent="0.25">
      <c r="A80" s="4" t="s">
        <v>176</v>
      </c>
      <c r="B80" s="4" t="str">
        <f t="shared" si="7"/>
        <v>Média/Pequena</v>
      </c>
      <c r="C80" s="11" t="s">
        <v>155</v>
      </c>
      <c r="D80" s="11" t="s">
        <v>80</v>
      </c>
      <c r="E80" s="11" t="s">
        <v>55</v>
      </c>
      <c r="F80" s="12" t="s">
        <v>177</v>
      </c>
      <c r="G80" s="11" t="s">
        <v>61</v>
      </c>
      <c r="H80" s="13">
        <v>13780867</v>
      </c>
      <c r="I80" s="13">
        <v>8420605</v>
      </c>
      <c r="J80" s="13">
        <v>327872</v>
      </c>
      <c r="K80" s="13">
        <v>11983175</v>
      </c>
      <c r="L80" s="13">
        <v>11072779</v>
      </c>
      <c r="M80" s="13">
        <v>1797693</v>
      </c>
      <c r="N80" s="13">
        <v>41633</v>
      </c>
      <c r="O80" s="14"/>
      <c r="P80" s="14">
        <v>43</v>
      </c>
      <c r="Q80" s="15" t="s">
        <v>157</v>
      </c>
      <c r="R80" s="15" t="s">
        <v>57</v>
      </c>
      <c r="S80" s="16">
        <f t="shared" si="5"/>
        <v>0.61103593845002635</v>
      </c>
      <c r="T80" s="17">
        <f t="shared" si="6"/>
        <v>2.3159126725197238E-2</v>
      </c>
      <c r="U80" t="str">
        <v>Fraco</v>
      </c>
    </row>
    <row r="81" spans="1:21" ht="15.75" customHeight="1" x14ac:dyDescent="0.25">
      <c r="A81" s="4" t="s">
        <v>178</v>
      </c>
      <c r="B81" s="4" t="str">
        <f t="shared" si="7"/>
        <v>Média/Pequena</v>
      </c>
      <c r="C81" s="5" t="s">
        <v>155</v>
      </c>
      <c r="D81" s="5" t="s">
        <v>80</v>
      </c>
      <c r="E81" s="5" t="s">
        <v>55</v>
      </c>
      <c r="F81" s="4" t="s">
        <v>179</v>
      </c>
      <c r="G81" s="5" t="s">
        <v>135</v>
      </c>
      <c r="H81" s="6">
        <v>13691036</v>
      </c>
      <c r="I81" s="6">
        <v>8176323</v>
      </c>
      <c r="J81" s="6">
        <v>3672476</v>
      </c>
      <c r="K81" s="6">
        <v>12387349</v>
      </c>
      <c r="L81" s="6">
        <v>7524534</v>
      </c>
      <c r="M81" s="6">
        <v>1303687</v>
      </c>
      <c r="N81" s="6">
        <v>62569</v>
      </c>
      <c r="O81" s="7"/>
      <c r="P81" s="7">
        <v>113</v>
      </c>
      <c r="Q81" s="8" t="s">
        <v>157</v>
      </c>
      <c r="R81" s="8" t="s">
        <v>57</v>
      </c>
      <c r="S81" s="9">
        <f t="shared" si="5"/>
        <v>0.59720265142827755</v>
      </c>
      <c r="T81" s="10">
        <f t="shared" si="6"/>
        <v>4.7993881967067248E-2</v>
      </c>
      <c r="U81" t="str">
        <v>Fraco</v>
      </c>
    </row>
    <row r="82" spans="1:21" ht="15.75" customHeight="1" x14ac:dyDescent="0.25">
      <c r="A82" s="4" t="s">
        <v>180</v>
      </c>
      <c r="B82" s="4" t="str">
        <f t="shared" si="7"/>
        <v>Média/Pequena</v>
      </c>
      <c r="C82" s="11" t="s">
        <v>53</v>
      </c>
      <c r="D82" s="11" t="s">
        <v>80</v>
      </c>
      <c r="E82" s="11" t="s">
        <v>64</v>
      </c>
      <c r="F82" s="12" t="s">
        <v>60</v>
      </c>
      <c r="G82" s="11" t="s">
        <v>61</v>
      </c>
      <c r="H82" s="13">
        <v>13395274</v>
      </c>
      <c r="I82" s="13">
        <v>1290237</v>
      </c>
      <c r="J82" s="13">
        <v>4271321</v>
      </c>
      <c r="K82" s="13">
        <v>10003511</v>
      </c>
      <c r="L82" s="13">
        <v>8794703</v>
      </c>
      <c r="M82" s="13">
        <v>3391763</v>
      </c>
      <c r="N82" s="13">
        <v>153751</v>
      </c>
      <c r="O82" s="14">
        <v>4</v>
      </c>
      <c r="P82" s="14"/>
      <c r="Q82" s="15" t="s">
        <v>56</v>
      </c>
      <c r="R82" s="15" t="s">
        <v>66</v>
      </c>
      <c r="S82" s="16">
        <f t="shared" si="5"/>
        <v>9.6320314164532961E-2</v>
      </c>
      <c r="T82" s="17">
        <f t="shared" si="6"/>
        <v>4.5330702646381837E-2</v>
      </c>
      <c r="U82" t="str">
        <v>Fraco</v>
      </c>
    </row>
    <row r="83" spans="1:21" ht="15.75" customHeight="1" x14ac:dyDescent="0.25">
      <c r="A83" s="4" t="s">
        <v>181</v>
      </c>
      <c r="B83" s="4" t="str">
        <f t="shared" si="7"/>
        <v>Média/Pequena</v>
      </c>
      <c r="C83" s="5" t="s">
        <v>122</v>
      </c>
      <c r="D83" s="5" t="s">
        <v>127</v>
      </c>
      <c r="E83" s="5" t="s">
        <v>55</v>
      </c>
      <c r="F83" s="4" t="s">
        <v>114</v>
      </c>
      <c r="G83" s="5" t="s">
        <v>115</v>
      </c>
      <c r="H83" s="6">
        <v>13379099</v>
      </c>
      <c r="I83" s="6">
        <v>115222</v>
      </c>
      <c r="J83" s="6">
        <v>3417611</v>
      </c>
      <c r="K83" s="6">
        <v>12702883</v>
      </c>
      <c r="L83" s="6">
        <v>905302</v>
      </c>
      <c r="M83" s="6">
        <v>676216</v>
      </c>
      <c r="N83" s="6">
        <v>3073</v>
      </c>
      <c r="O83" s="7"/>
      <c r="P83" s="7"/>
      <c r="Q83" s="8" t="s">
        <v>123</v>
      </c>
      <c r="R83" s="8" t="s">
        <v>57</v>
      </c>
      <c r="S83" s="9">
        <f t="shared" si="5"/>
        <v>8.6120896481893146E-3</v>
      </c>
      <c r="T83" s="10">
        <f t="shared" si="6"/>
        <v>4.5444059294663247E-3</v>
      </c>
      <c r="U83" t="str">
        <v>Fraco</v>
      </c>
    </row>
    <row r="84" spans="1:21" ht="15.75" customHeight="1" x14ac:dyDescent="0.25">
      <c r="A84" s="4" t="s">
        <v>182</v>
      </c>
      <c r="B84" s="4" t="str">
        <f t="shared" si="7"/>
        <v>Média/Pequena</v>
      </c>
      <c r="C84" s="11" t="s">
        <v>53</v>
      </c>
      <c r="D84" s="11" t="s">
        <v>127</v>
      </c>
      <c r="E84" s="11" t="s">
        <v>47</v>
      </c>
      <c r="F84" s="12" t="s">
        <v>183</v>
      </c>
      <c r="G84" s="11" t="s">
        <v>184</v>
      </c>
      <c r="H84" s="13">
        <v>13173269</v>
      </c>
      <c r="I84" s="13">
        <v>4816017</v>
      </c>
      <c r="J84" s="13">
        <v>3082263</v>
      </c>
      <c r="K84" s="13">
        <v>12304645</v>
      </c>
      <c r="L84" s="13">
        <v>11744895</v>
      </c>
      <c r="M84" s="13">
        <v>868624</v>
      </c>
      <c r="N84" s="13">
        <v>47037</v>
      </c>
      <c r="O84" s="14">
        <v>65</v>
      </c>
      <c r="P84" s="14">
        <v>7</v>
      </c>
      <c r="Q84" s="15" t="s">
        <v>56</v>
      </c>
      <c r="R84" s="15" t="s">
        <v>51</v>
      </c>
      <c r="S84" s="16">
        <f t="shared" si="5"/>
        <v>0.36559012041733907</v>
      </c>
      <c r="T84" s="17">
        <f t="shared" si="6"/>
        <v>5.4151163219068321E-2</v>
      </c>
      <c r="U84" t="str">
        <v>Fraco</v>
      </c>
    </row>
    <row r="85" spans="1:21" ht="15.75" customHeight="1" x14ac:dyDescent="0.25">
      <c r="A85" s="4" t="s">
        <v>185</v>
      </c>
      <c r="B85" s="4" t="str">
        <f t="shared" si="7"/>
        <v>Média/Pequena</v>
      </c>
      <c r="C85" s="5" t="s">
        <v>122</v>
      </c>
      <c r="D85" s="5" t="s">
        <v>80</v>
      </c>
      <c r="E85" s="5" t="s">
        <v>55</v>
      </c>
      <c r="F85" s="4" t="s">
        <v>168</v>
      </c>
      <c r="G85" s="5" t="s">
        <v>143</v>
      </c>
      <c r="H85" s="6">
        <v>13059120</v>
      </c>
      <c r="I85" s="6">
        <v>874364</v>
      </c>
      <c r="J85" s="6">
        <v>8584719</v>
      </c>
      <c r="K85" s="6">
        <v>12088004</v>
      </c>
      <c r="L85" s="6">
        <v>2466605</v>
      </c>
      <c r="M85" s="6">
        <v>971116</v>
      </c>
      <c r="N85" s="6"/>
      <c r="O85" s="7"/>
      <c r="P85" s="7"/>
      <c r="Q85" s="8" t="s">
        <v>123</v>
      </c>
      <c r="R85" s="8" t="s">
        <v>57</v>
      </c>
      <c r="S85" s="9">
        <f t="shared" si="5"/>
        <v>6.6954281758648357E-2</v>
      </c>
      <c r="T85" s="19">
        <f t="shared" si="6"/>
        <v>0</v>
      </c>
      <c r="U85" t="str">
        <v>Prejuizo</v>
      </c>
    </row>
    <row r="86" spans="1:21" ht="15.75" customHeight="1" x14ac:dyDescent="0.25">
      <c r="A86" s="4" t="s">
        <v>186</v>
      </c>
      <c r="B86" s="4" t="str">
        <f t="shared" si="7"/>
        <v>Média/Pequena</v>
      </c>
      <c r="C86" s="11" t="s">
        <v>155</v>
      </c>
      <c r="D86" s="11" t="s">
        <v>80</v>
      </c>
      <c r="E86" s="11" t="s">
        <v>55</v>
      </c>
      <c r="F86" s="12" t="s">
        <v>187</v>
      </c>
      <c r="G86" s="11" t="s">
        <v>188</v>
      </c>
      <c r="H86" s="13">
        <v>12411610</v>
      </c>
      <c r="I86" s="13">
        <v>8206880</v>
      </c>
      <c r="J86" s="13">
        <v>2620532</v>
      </c>
      <c r="K86" s="13">
        <v>10475660</v>
      </c>
      <c r="L86" s="13">
        <v>5389977</v>
      </c>
      <c r="M86" s="13">
        <v>1935950</v>
      </c>
      <c r="N86" s="13">
        <v>107265</v>
      </c>
      <c r="O86" s="14"/>
      <c r="P86" s="14">
        <v>40</v>
      </c>
      <c r="Q86" s="15" t="s">
        <v>157</v>
      </c>
      <c r="R86" s="15" t="s">
        <v>57</v>
      </c>
      <c r="S86" s="16">
        <f t="shared" si="5"/>
        <v>0.66122606172768883</v>
      </c>
      <c r="T86" s="17">
        <f t="shared" si="6"/>
        <v>5.5406906170097366E-2</v>
      </c>
      <c r="U86" t="str">
        <v>Fraco</v>
      </c>
    </row>
    <row r="87" spans="1:21" ht="15.75" customHeight="1" x14ac:dyDescent="0.25">
      <c r="A87" s="4" t="s">
        <v>189</v>
      </c>
      <c r="B87" s="4" t="str">
        <f t="shared" si="7"/>
        <v>Média/Pequena</v>
      </c>
      <c r="C87" s="5" t="s">
        <v>53</v>
      </c>
      <c r="D87" s="5" t="s">
        <v>127</v>
      </c>
      <c r="E87" s="5" t="s">
        <v>55</v>
      </c>
      <c r="F87" s="4" t="s">
        <v>134</v>
      </c>
      <c r="G87" s="5" t="s">
        <v>135</v>
      </c>
      <c r="H87" s="6">
        <v>12355067</v>
      </c>
      <c r="I87" s="6">
        <v>8639617</v>
      </c>
      <c r="J87" s="6">
        <v>2126995</v>
      </c>
      <c r="K87" s="6">
        <v>11005478</v>
      </c>
      <c r="L87" s="6">
        <v>10728977</v>
      </c>
      <c r="M87" s="6">
        <v>1349589</v>
      </c>
      <c r="N87" s="6">
        <v>31519</v>
      </c>
      <c r="O87" s="7">
        <v>4</v>
      </c>
      <c r="P87" s="7"/>
      <c r="Q87" s="8" t="s">
        <v>56</v>
      </c>
      <c r="R87" s="8" t="s">
        <v>57</v>
      </c>
      <c r="S87" s="9">
        <f t="shared" si="5"/>
        <v>0.69927722771555989</v>
      </c>
      <c r="T87" s="10">
        <f t="shared" si="6"/>
        <v>2.335451756053139E-2</v>
      </c>
      <c r="U87" t="str">
        <v>Fraco</v>
      </c>
    </row>
    <row r="88" spans="1:21" ht="15.75" customHeight="1" x14ac:dyDescent="0.25">
      <c r="A88" s="4" t="s">
        <v>190</v>
      </c>
      <c r="B88" s="4" t="str">
        <f t="shared" si="7"/>
        <v>Média/Pequena</v>
      </c>
      <c r="C88" s="11" t="s">
        <v>53</v>
      </c>
      <c r="D88" s="11" t="s">
        <v>127</v>
      </c>
      <c r="E88" s="11" t="s">
        <v>64</v>
      </c>
      <c r="F88" s="12" t="s">
        <v>60</v>
      </c>
      <c r="G88" s="11" t="s">
        <v>61</v>
      </c>
      <c r="H88" s="13">
        <v>12115564</v>
      </c>
      <c r="I88" s="13">
        <v>11548046</v>
      </c>
      <c r="J88" s="13">
        <v>427678</v>
      </c>
      <c r="K88" s="13">
        <v>10738348</v>
      </c>
      <c r="L88" s="13">
        <v>10618956</v>
      </c>
      <c r="M88" s="13">
        <v>1377216</v>
      </c>
      <c r="N88" s="13">
        <v>32193</v>
      </c>
      <c r="O88" s="14">
        <v>2</v>
      </c>
      <c r="P88" s="14">
        <v>1</v>
      </c>
      <c r="Q88" s="15" t="s">
        <v>56</v>
      </c>
      <c r="R88" s="15" t="s">
        <v>66</v>
      </c>
      <c r="S88" s="16">
        <f t="shared" si="5"/>
        <v>0.95315793800437187</v>
      </c>
      <c r="T88" s="17">
        <f t="shared" si="6"/>
        <v>2.3375418235048098E-2</v>
      </c>
      <c r="U88" t="str">
        <v>Fraco</v>
      </c>
    </row>
    <row r="89" spans="1:21" ht="15.75" customHeight="1" x14ac:dyDescent="0.25">
      <c r="A89" s="4" t="s">
        <v>191</v>
      </c>
      <c r="B89" s="4" t="str">
        <f t="shared" si="7"/>
        <v>Média/Pequena</v>
      </c>
      <c r="C89" s="5" t="s">
        <v>155</v>
      </c>
      <c r="D89" s="5" t="s">
        <v>127</v>
      </c>
      <c r="E89" s="5" t="s">
        <v>55</v>
      </c>
      <c r="F89" s="4" t="s">
        <v>192</v>
      </c>
      <c r="G89" s="5" t="s">
        <v>135</v>
      </c>
      <c r="H89" s="6">
        <v>12096978</v>
      </c>
      <c r="I89" s="6">
        <v>7608343</v>
      </c>
      <c r="J89" s="6">
        <v>3148533</v>
      </c>
      <c r="K89" s="6">
        <v>10950720</v>
      </c>
      <c r="L89" s="6">
        <v>7262829</v>
      </c>
      <c r="M89" s="6">
        <v>1146258</v>
      </c>
      <c r="N89" s="6">
        <v>90911</v>
      </c>
      <c r="O89" s="7"/>
      <c r="P89" s="7">
        <v>98</v>
      </c>
      <c r="Q89" s="8" t="s">
        <v>157</v>
      </c>
      <c r="R89" s="8" t="s">
        <v>57</v>
      </c>
      <c r="S89" s="9">
        <f t="shared" si="5"/>
        <v>0.62894575818853271</v>
      </c>
      <c r="T89" s="10">
        <f t="shared" si="6"/>
        <v>7.9311114949688469E-2</v>
      </c>
      <c r="U89" t="str">
        <v>Fraco</v>
      </c>
    </row>
    <row r="90" spans="1:21" ht="15.75" customHeight="1" x14ac:dyDescent="0.25">
      <c r="A90" s="4" t="s">
        <v>193</v>
      </c>
      <c r="B90" s="4" t="str">
        <f t="shared" si="7"/>
        <v>Média/Pequena</v>
      </c>
      <c r="C90" s="11" t="s">
        <v>155</v>
      </c>
      <c r="D90" s="11" t="s">
        <v>194</v>
      </c>
      <c r="E90" s="11" t="s">
        <v>55</v>
      </c>
      <c r="F90" s="12" t="s">
        <v>195</v>
      </c>
      <c r="G90" s="11" t="s">
        <v>115</v>
      </c>
      <c r="H90" s="13">
        <v>12046633</v>
      </c>
      <c r="I90" s="13">
        <v>7466418</v>
      </c>
      <c r="J90" s="13">
        <v>1050421</v>
      </c>
      <c r="K90" s="13">
        <v>9715189</v>
      </c>
      <c r="L90" s="13">
        <v>8222774</v>
      </c>
      <c r="M90" s="13">
        <v>2331445</v>
      </c>
      <c r="N90" s="13">
        <v>167511</v>
      </c>
      <c r="O90" s="14"/>
      <c r="P90" s="14">
        <v>47</v>
      </c>
      <c r="Q90" s="15" t="s">
        <v>157</v>
      </c>
      <c r="R90" s="15" t="s">
        <v>57</v>
      </c>
      <c r="S90" s="16">
        <f t="shared" si="5"/>
        <v>0.61979293301290084</v>
      </c>
      <c r="T90" s="17">
        <f t="shared" si="6"/>
        <v>7.184857459644127E-2</v>
      </c>
      <c r="U90" t="str">
        <v>Fraco</v>
      </c>
    </row>
    <row r="91" spans="1:21" ht="15.75" customHeight="1" x14ac:dyDescent="0.25">
      <c r="A91" s="4" t="s">
        <v>196</v>
      </c>
      <c r="B91" s="4" t="str">
        <f t="shared" si="7"/>
        <v>Média/Pequena</v>
      </c>
      <c r="C91" s="5" t="s">
        <v>104</v>
      </c>
      <c r="D91" s="5" t="s">
        <v>80</v>
      </c>
      <c r="E91" s="5" t="s">
        <v>64</v>
      </c>
      <c r="F91" s="4" t="s">
        <v>60</v>
      </c>
      <c r="G91" s="5" t="s">
        <v>61</v>
      </c>
      <c r="H91" s="6">
        <v>11916302</v>
      </c>
      <c r="I91" s="6">
        <v>10240077</v>
      </c>
      <c r="J91" s="6"/>
      <c r="K91" s="6">
        <v>10501685</v>
      </c>
      <c r="L91" s="6">
        <v>9939672</v>
      </c>
      <c r="M91" s="6">
        <v>1414617</v>
      </c>
      <c r="N91" s="6">
        <v>76483</v>
      </c>
      <c r="O91" s="7">
        <v>2</v>
      </c>
      <c r="P91" s="7"/>
      <c r="Q91" s="8" t="s">
        <v>105</v>
      </c>
      <c r="R91" s="8" t="s">
        <v>66</v>
      </c>
      <c r="S91" s="9">
        <f t="shared" si="5"/>
        <v>0.85933345764482971</v>
      </c>
      <c r="T91" s="10">
        <f t="shared" si="6"/>
        <v>5.4066224285442631E-2</v>
      </c>
      <c r="U91" t="str">
        <v>Fraco</v>
      </c>
    </row>
    <row r="92" spans="1:21" ht="15.75" customHeight="1" x14ac:dyDescent="0.25">
      <c r="A92" s="4" t="s">
        <v>197</v>
      </c>
      <c r="B92" s="4" t="str">
        <f t="shared" si="7"/>
        <v>Média/Pequena</v>
      </c>
      <c r="C92" s="11" t="s">
        <v>155</v>
      </c>
      <c r="D92" s="11" t="s">
        <v>127</v>
      </c>
      <c r="E92" s="11" t="s">
        <v>55</v>
      </c>
      <c r="F92" s="12" t="s">
        <v>198</v>
      </c>
      <c r="G92" s="11" t="s">
        <v>69</v>
      </c>
      <c r="H92" s="13">
        <v>11584451</v>
      </c>
      <c r="I92" s="13">
        <v>5989817</v>
      </c>
      <c r="J92" s="13">
        <v>4387662</v>
      </c>
      <c r="K92" s="13">
        <v>10364993</v>
      </c>
      <c r="L92" s="13">
        <v>7773946</v>
      </c>
      <c r="M92" s="13">
        <v>1219457</v>
      </c>
      <c r="N92" s="13">
        <v>72072</v>
      </c>
      <c r="O92" s="14"/>
      <c r="P92" s="14">
        <v>53</v>
      </c>
      <c r="Q92" s="15" t="s">
        <v>157</v>
      </c>
      <c r="R92" s="15" t="s">
        <v>57</v>
      </c>
      <c r="S92" s="16">
        <f t="shared" si="5"/>
        <v>0.51705661321369478</v>
      </c>
      <c r="T92" s="17">
        <f t="shared" si="6"/>
        <v>5.910171494361835E-2</v>
      </c>
      <c r="U92" t="str">
        <v>Fraco</v>
      </c>
    </row>
    <row r="93" spans="1:21" ht="15.75" customHeight="1" x14ac:dyDescent="0.25">
      <c r="A93" s="4" t="s">
        <v>191</v>
      </c>
      <c r="B93" s="4" t="str">
        <f t="shared" si="7"/>
        <v>Média/Pequena</v>
      </c>
      <c r="C93" s="5" t="s">
        <v>155</v>
      </c>
      <c r="D93" s="5" t="s">
        <v>127</v>
      </c>
      <c r="E93" s="5" t="s">
        <v>55</v>
      </c>
      <c r="F93" s="4" t="s">
        <v>199</v>
      </c>
      <c r="G93" s="5" t="s">
        <v>135</v>
      </c>
      <c r="H93" s="6">
        <v>11553133</v>
      </c>
      <c r="I93" s="6">
        <v>6819595</v>
      </c>
      <c r="J93" s="6">
        <v>3041578</v>
      </c>
      <c r="K93" s="6">
        <v>10163084</v>
      </c>
      <c r="L93" s="6">
        <v>6849728</v>
      </c>
      <c r="M93" s="6">
        <v>1390049</v>
      </c>
      <c r="N93" s="6">
        <v>82347</v>
      </c>
      <c r="O93" s="7"/>
      <c r="P93" s="7">
        <v>100</v>
      </c>
      <c r="Q93" s="8" t="s">
        <v>157</v>
      </c>
      <c r="R93" s="8" t="s">
        <v>57</v>
      </c>
      <c r="S93" s="9">
        <f t="shared" si="5"/>
        <v>0.59028100862337518</v>
      </c>
      <c r="T93" s="10">
        <f t="shared" si="6"/>
        <v>5.9240357714008644E-2</v>
      </c>
      <c r="U93" t="str">
        <v>Fraco</v>
      </c>
    </row>
    <row r="94" spans="1:21" ht="15.75" customHeight="1" x14ac:dyDescent="0.25">
      <c r="A94" s="4" t="s">
        <v>200</v>
      </c>
      <c r="B94" s="4" t="str">
        <f t="shared" si="7"/>
        <v>Média/Pequena</v>
      </c>
      <c r="C94" s="11" t="s">
        <v>122</v>
      </c>
      <c r="D94" s="11" t="s">
        <v>127</v>
      </c>
      <c r="E94" s="11" t="s">
        <v>55</v>
      </c>
      <c r="F94" s="12" t="s">
        <v>68</v>
      </c>
      <c r="G94" s="11" t="s">
        <v>69</v>
      </c>
      <c r="H94" s="13">
        <v>11426362</v>
      </c>
      <c r="I94" s="13"/>
      <c r="J94" s="13">
        <v>9688466</v>
      </c>
      <c r="K94" s="13">
        <v>8785916</v>
      </c>
      <c r="L94" s="13"/>
      <c r="M94" s="13">
        <v>2640446</v>
      </c>
      <c r="N94" s="13"/>
      <c r="O94" s="14"/>
      <c r="P94" s="14"/>
      <c r="Q94" s="15" t="s">
        <v>123</v>
      </c>
      <c r="R94" s="15" t="s">
        <v>57</v>
      </c>
      <c r="S94" s="16">
        <f t="shared" si="5"/>
        <v>0</v>
      </c>
      <c r="T94" s="21">
        <f t="shared" si="6"/>
        <v>0</v>
      </c>
      <c r="U94" t="str">
        <v>Prejuizo</v>
      </c>
    </row>
    <row r="95" spans="1:21" ht="15.75" customHeight="1" x14ac:dyDescent="0.25">
      <c r="A95" s="4" t="s">
        <v>201</v>
      </c>
      <c r="B95" s="4" t="str">
        <f t="shared" si="7"/>
        <v>Média/Pequena</v>
      </c>
      <c r="C95" s="5" t="s">
        <v>155</v>
      </c>
      <c r="D95" s="5" t="s">
        <v>127</v>
      </c>
      <c r="E95" s="5" t="s">
        <v>55</v>
      </c>
      <c r="F95" s="4" t="s">
        <v>202</v>
      </c>
      <c r="G95" s="5" t="s">
        <v>135</v>
      </c>
      <c r="H95" s="6">
        <v>11265120</v>
      </c>
      <c r="I95" s="6">
        <v>6125061</v>
      </c>
      <c r="J95" s="6">
        <v>4079223</v>
      </c>
      <c r="K95" s="6">
        <v>10056975</v>
      </c>
      <c r="L95" s="6">
        <v>7412194</v>
      </c>
      <c r="M95" s="6">
        <v>1208145</v>
      </c>
      <c r="N95" s="6">
        <v>87938</v>
      </c>
      <c r="O95" s="7"/>
      <c r="P95" s="7">
        <v>53</v>
      </c>
      <c r="Q95" s="8" t="s">
        <v>157</v>
      </c>
      <c r="R95" s="8" t="s">
        <v>57</v>
      </c>
      <c r="S95" s="9">
        <f t="shared" si="5"/>
        <v>0.5437191081852657</v>
      </c>
      <c r="T95" s="10">
        <f t="shared" si="6"/>
        <v>7.2787620691224977E-2</v>
      </c>
      <c r="U95" t="str">
        <v>Fraco</v>
      </c>
    </row>
    <row r="96" spans="1:21" ht="15.75" customHeight="1" x14ac:dyDescent="0.25">
      <c r="A96" s="4" t="s">
        <v>203</v>
      </c>
      <c r="B96" s="4" t="str">
        <f t="shared" si="7"/>
        <v>Média/Pequena</v>
      </c>
      <c r="C96" s="11" t="s">
        <v>63</v>
      </c>
      <c r="D96" s="11" t="s">
        <v>80</v>
      </c>
      <c r="E96" s="11" t="s">
        <v>55</v>
      </c>
      <c r="F96" s="12" t="s">
        <v>71</v>
      </c>
      <c r="G96" s="11" t="s">
        <v>72</v>
      </c>
      <c r="H96" s="13">
        <v>11135660</v>
      </c>
      <c r="I96" s="13">
        <v>4890341</v>
      </c>
      <c r="J96" s="13">
        <v>979945</v>
      </c>
      <c r="K96" s="13">
        <v>3581026</v>
      </c>
      <c r="L96" s="13">
        <v>3443555</v>
      </c>
      <c r="M96" s="13">
        <v>7554634</v>
      </c>
      <c r="N96" s="13">
        <v>96666</v>
      </c>
      <c r="O96" s="14">
        <v>61</v>
      </c>
      <c r="P96" s="14"/>
      <c r="Q96" s="15" t="s">
        <v>65</v>
      </c>
      <c r="R96" s="15" t="s">
        <v>57</v>
      </c>
      <c r="S96" s="16">
        <f t="shared" si="5"/>
        <v>0.43916040899237224</v>
      </c>
      <c r="T96" s="17">
        <f t="shared" si="6"/>
        <v>1.2795590097415705E-2</v>
      </c>
      <c r="U96" t="str">
        <v>Fraco</v>
      </c>
    </row>
    <row r="97" spans="1:21" ht="15.75" customHeight="1" x14ac:dyDescent="0.25">
      <c r="A97" s="4" t="s">
        <v>204</v>
      </c>
      <c r="B97" s="4" t="str">
        <f t="shared" si="7"/>
        <v>Média/Pequena</v>
      </c>
      <c r="C97" s="5" t="s">
        <v>155</v>
      </c>
      <c r="D97" s="5" t="s">
        <v>127</v>
      </c>
      <c r="E97" s="5" t="s">
        <v>55</v>
      </c>
      <c r="F97" s="4" t="s">
        <v>205</v>
      </c>
      <c r="G97" s="5" t="s">
        <v>69</v>
      </c>
      <c r="H97" s="6">
        <v>11038083</v>
      </c>
      <c r="I97" s="6">
        <v>5515395</v>
      </c>
      <c r="J97" s="6">
        <v>4328829</v>
      </c>
      <c r="K97" s="6">
        <v>9879416</v>
      </c>
      <c r="L97" s="6">
        <v>8010435</v>
      </c>
      <c r="M97" s="6">
        <v>1158667</v>
      </c>
      <c r="N97" s="6">
        <v>54670</v>
      </c>
      <c r="O97" s="7"/>
      <c r="P97" s="7">
        <v>58</v>
      </c>
      <c r="Q97" s="8" t="s">
        <v>157</v>
      </c>
      <c r="R97" s="8" t="s">
        <v>57</v>
      </c>
      <c r="S97" s="9">
        <f t="shared" si="5"/>
        <v>0.49966964372346179</v>
      </c>
      <c r="T97" s="10">
        <f t="shared" si="6"/>
        <v>4.7183530729709225E-2</v>
      </c>
      <c r="U97" t="str">
        <v>Fraco</v>
      </c>
    </row>
    <row r="98" spans="1:21" ht="15.75" customHeight="1" x14ac:dyDescent="0.25">
      <c r="A98" s="4" t="s">
        <v>206</v>
      </c>
      <c r="B98" s="4" t="str">
        <f t="shared" si="7"/>
        <v>Média/Pequena</v>
      </c>
      <c r="C98" s="11" t="s">
        <v>104</v>
      </c>
      <c r="D98" s="11" t="s">
        <v>127</v>
      </c>
      <c r="E98" s="11" t="s">
        <v>64</v>
      </c>
      <c r="F98" s="12" t="s">
        <v>60</v>
      </c>
      <c r="G98" s="11" t="s">
        <v>61</v>
      </c>
      <c r="H98" s="13">
        <v>10875543</v>
      </c>
      <c r="I98" s="13">
        <v>8679959</v>
      </c>
      <c r="J98" s="13">
        <v>260045</v>
      </c>
      <c r="K98" s="13">
        <v>9435937</v>
      </c>
      <c r="L98" s="13">
        <v>8733360</v>
      </c>
      <c r="M98" s="13">
        <v>1439606</v>
      </c>
      <c r="N98" s="13">
        <v>59788</v>
      </c>
      <c r="O98" s="14">
        <v>4</v>
      </c>
      <c r="P98" s="14"/>
      <c r="Q98" s="15" t="s">
        <v>105</v>
      </c>
      <c r="R98" s="15" t="s">
        <v>66</v>
      </c>
      <c r="S98" s="16">
        <f t="shared" si="5"/>
        <v>0.79811729860292957</v>
      </c>
      <c r="T98" s="17">
        <f t="shared" si="6"/>
        <v>4.1530807734894128E-2</v>
      </c>
      <c r="U98" t="str">
        <v>Fraco</v>
      </c>
    </row>
    <row r="99" spans="1:21" ht="15.75" customHeight="1" x14ac:dyDescent="0.25">
      <c r="A99" s="4" t="s">
        <v>207</v>
      </c>
      <c r="B99" s="4" t="str">
        <f t="shared" si="7"/>
        <v>Média/Pequena</v>
      </c>
      <c r="C99" s="5" t="s">
        <v>155</v>
      </c>
      <c r="D99" s="5" t="s">
        <v>127</v>
      </c>
      <c r="E99" s="5" t="s">
        <v>55</v>
      </c>
      <c r="F99" s="4" t="s">
        <v>208</v>
      </c>
      <c r="G99" s="5" t="s">
        <v>143</v>
      </c>
      <c r="H99" s="6">
        <v>10334186</v>
      </c>
      <c r="I99" s="6">
        <v>6675409</v>
      </c>
      <c r="J99" s="6">
        <v>163016</v>
      </c>
      <c r="K99" s="6">
        <v>9122176</v>
      </c>
      <c r="L99" s="6">
        <v>7711248</v>
      </c>
      <c r="M99" s="6">
        <v>1212010</v>
      </c>
      <c r="N99" s="6">
        <v>12494</v>
      </c>
      <c r="O99" s="7"/>
      <c r="P99" s="7">
        <v>102</v>
      </c>
      <c r="Q99" s="8" t="s">
        <v>157</v>
      </c>
      <c r="R99" s="8" t="s">
        <v>57</v>
      </c>
      <c r="S99" s="9">
        <f t="shared" si="5"/>
        <v>0.64595402095530308</v>
      </c>
      <c r="T99" s="10">
        <f t="shared" si="6"/>
        <v>1.0308495804490062E-2</v>
      </c>
      <c r="U99" t="str">
        <v>Fraco</v>
      </c>
    </row>
    <row r="100" spans="1:21" ht="15.75" customHeight="1" x14ac:dyDescent="0.25">
      <c r="A100" s="4" t="s">
        <v>209</v>
      </c>
      <c r="B100" s="4" t="str">
        <f t="shared" si="7"/>
        <v>Média/Pequena</v>
      </c>
      <c r="C100" s="11" t="s">
        <v>155</v>
      </c>
      <c r="D100" s="11" t="s">
        <v>194</v>
      </c>
      <c r="E100" s="11" t="s">
        <v>55</v>
      </c>
      <c r="F100" s="12" t="s">
        <v>210</v>
      </c>
      <c r="G100" s="11" t="s">
        <v>211</v>
      </c>
      <c r="H100" s="13">
        <v>9932666</v>
      </c>
      <c r="I100" s="13">
        <v>6733710</v>
      </c>
      <c r="J100" s="13">
        <v>83228</v>
      </c>
      <c r="K100" s="13">
        <v>8880546</v>
      </c>
      <c r="L100" s="13">
        <v>8038780</v>
      </c>
      <c r="M100" s="13">
        <v>1052120</v>
      </c>
      <c r="N100" s="20">
        <v>-80942</v>
      </c>
      <c r="O100" s="14"/>
      <c r="P100" s="14">
        <v>111</v>
      </c>
      <c r="Q100" s="15" t="s">
        <v>157</v>
      </c>
      <c r="R100" s="15" t="s">
        <v>57</v>
      </c>
      <c r="S100" s="16">
        <f t="shared" si="5"/>
        <v>0.67793581300327621</v>
      </c>
      <c r="T100" s="21">
        <f t="shared" si="6"/>
        <v>-7.6932289092498954E-2</v>
      </c>
      <c r="U100" t="str">
        <v>Prejuizo</v>
      </c>
    </row>
    <row r="101" spans="1:21" ht="15.75" customHeight="1" x14ac:dyDescent="0.25">
      <c r="A101" s="4" t="s">
        <v>212</v>
      </c>
      <c r="B101" s="4" t="str">
        <f t="shared" si="7"/>
        <v>Média/Pequena</v>
      </c>
      <c r="C101" s="5" t="s">
        <v>155</v>
      </c>
      <c r="D101" s="5" t="s">
        <v>127</v>
      </c>
      <c r="E101" s="5" t="s">
        <v>55</v>
      </c>
      <c r="F101" s="4" t="s">
        <v>213</v>
      </c>
      <c r="G101" s="5" t="s">
        <v>135</v>
      </c>
      <c r="H101" s="6">
        <v>9918409</v>
      </c>
      <c r="I101" s="6">
        <v>5172503</v>
      </c>
      <c r="J101" s="6">
        <v>3755352</v>
      </c>
      <c r="K101" s="6">
        <v>8265663</v>
      </c>
      <c r="L101" s="6">
        <v>8002357</v>
      </c>
      <c r="M101" s="6">
        <v>1652746</v>
      </c>
      <c r="N101" s="6">
        <v>54365</v>
      </c>
      <c r="O101" s="7"/>
      <c r="P101" s="7">
        <v>50</v>
      </c>
      <c r="Q101" s="8" t="s">
        <v>157</v>
      </c>
      <c r="R101" s="8" t="s">
        <v>57</v>
      </c>
      <c r="S101" s="9">
        <f t="shared" si="5"/>
        <v>0.52150531400751876</v>
      </c>
      <c r="T101" s="10">
        <f t="shared" si="6"/>
        <v>3.2893741688075483E-2</v>
      </c>
      <c r="U101" t="str">
        <v>Fraco</v>
      </c>
    </row>
    <row r="102" spans="1:21" ht="15.75" customHeight="1" x14ac:dyDescent="0.25">
      <c r="A102" s="4" t="s">
        <v>214</v>
      </c>
      <c r="B102" s="4" t="str">
        <f t="shared" si="7"/>
        <v>Média/Pequena</v>
      </c>
      <c r="C102" s="11" t="s">
        <v>63</v>
      </c>
      <c r="D102" s="11" t="s">
        <v>127</v>
      </c>
      <c r="E102" s="11" t="s">
        <v>55</v>
      </c>
      <c r="F102" s="12" t="s">
        <v>68</v>
      </c>
      <c r="G102" s="11" t="s">
        <v>69</v>
      </c>
      <c r="H102" s="13">
        <v>9833474</v>
      </c>
      <c r="I102" s="13">
        <v>4573212</v>
      </c>
      <c r="J102" s="13">
        <v>4429847</v>
      </c>
      <c r="K102" s="13">
        <v>9095567</v>
      </c>
      <c r="L102" s="13">
        <v>8032874</v>
      </c>
      <c r="M102" s="13">
        <v>737907</v>
      </c>
      <c r="N102" s="20">
        <v>-44054</v>
      </c>
      <c r="O102" s="14">
        <v>2</v>
      </c>
      <c r="P102" s="14"/>
      <c r="Q102" s="15" t="s">
        <v>65</v>
      </c>
      <c r="R102" s="15" t="s">
        <v>57</v>
      </c>
      <c r="S102" s="16">
        <f t="shared" si="5"/>
        <v>0.46506575397463806</v>
      </c>
      <c r="T102" s="21">
        <f t="shared" si="6"/>
        <v>-5.9701290270996209E-2</v>
      </c>
      <c r="U102" t="str">
        <v>Prejuizo</v>
      </c>
    </row>
    <row r="103" spans="1:21" ht="15.75" customHeight="1" x14ac:dyDescent="0.25">
      <c r="A103" s="4" t="s">
        <v>215</v>
      </c>
      <c r="B103" s="4" t="str">
        <f t="shared" si="7"/>
        <v>Média/Pequena</v>
      </c>
      <c r="C103" s="5" t="s">
        <v>77</v>
      </c>
      <c r="D103" s="5" t="s">
        <v>194</v>
      </c>
      <c r="E103" s="5" t="s">
        <v>64</v>
      </c>
      <c r="F103" s="4" t="s">
        <v>60</v>
      </c>
      <c r="G103" s="5" t="s">
        <v>61</v>
      </c>
      <c r="H103" s="6">
        <v>9581774</v>
      </c>
      <c r="I103" s="6"/>
      <c r="J103" s="6">
        <v>1645571</v>
      </c>
      <c r="K103" s="6">
        <v>4577227</v>
      </c>
      <c r="L103" s="6">
        <v>1300889</v>
      </c>
      <c r="M103" s="6">
        <v>5004547</v>
      </c>
      <c r="N103" s="6">
        <v>247371</v>
      </c>
      <c r="O103" s="7">
        <v>1</v>
      </c>
      <c r="P103" s="7"/>
      <c r="Q103" s="8" t="s">
        <v>78</v>
      </c>
      <c r="R103" s="8" t="s">
        <v>66</v>
      </c>
      <c r="S103" s="9">
        <f t="shared" si="5"/>
        <v>0</v>
      </c>
      <c r="T103" s="10">
        <f t="shared" si="6"/>
        <v>4.9429249040922184E-2</v>
      </c>
      <c r="U103" t="str">
        <v>Fraco</v>
      </c>
    </row>
    <row r="104" spans="1:21" ht="15.75" customHeight="1" x14ac:dyDescent="0.25">
      <c r="A104" s="4" t="s">
        <v>216</v>
      </c>
      <c r="B104" s="4" t="str">
        <f t="shared" si="7"/>
        <v>Média/Pequena</v>
      </c>
      <c r="C104" s="11" t="s">
        <v>155</v>
      </c>
      <c r="D104" s="11" t="s">
        <v>127</v>
      </c>
      <c r="E104" s="11" t="s">
        <v>55</v>
      </c>
      <c r="F104" s="12" t="s">
        <v>217</v>
      </c>
      <c r="G104" s="11" t="s">
        <v>69</v>
      </c>
      <c r="H104" s="13">
        <v>9522043</v>
      </c>
      <c r="I104" s="13">
        <v>6043769</v>
      </c>
      <c r="J104" s="13">
        <v>2278350</v>
      </c>
      <c r="K104" s="13">
        <v>8364430</v>
      </c>
      <c r="L104" s="13">
        <v>4920825</v>
      </c>
      <c r="M104" s="13">
        <v>1157614</v>
      </c>
      <c r="N104" s="13">
        <v>43988</v>
      </c>
      <c r="O104" s="14"/>
      <c r="P104" s="14">
        <v>74</v>
      </c>
      <c r="Q104" s="15" t="s">
        <v>157</v>
      </c>
      <c r="R104" s="15" t="s">
        <v>57</v>
      </c>
      <c r="S104" s="16">
        <f t="shared" si="5"/>
        <v>0.63471347482887863</v>
      </c>
      <c r="T104" s="17">
        <f t="shared" si="6"/>
        <v>3.7998849357385102E-2</v>
      </c>
      <c r="U104" t="str">
        <v>Fraco</v>
      </c>
    </row>
    <row r="106" spans="1:21" x14ac:dyDescent="0.25">
      <c r="A106" s="79" t="s">
        <v>478</v>
      </c>
      <c r="B106" s="79"/>
      <c r="C106" s="80"/>
      <c r="D106" s="80"/>
      <c r="E106" s="80"/>
      <c r="F106" s="80"/>
      <c r="G106" s="64"/>
      <c r="H106" s="81">
        <f>AVERAGE(H5:H104)</f>
        <v>62555242.5</v>
      </c>
      <c r="I106" s="81"/>
      <c r="J106" s="81"/>
      <c r="K106" s="81"/>
      <c r="L106" s="81"/>
      <c r="M106" s="81"/>
      <c r="N106" s="81"/>
      <c r="O106" s="81"/>
      <c r="P106" s="81"/>
    </row>
    <row r="107" spans="1:21" x14ac:dyDescent="0.25">
      <c r="A107" s="79" t="s">
        <v>479</v>
      </c>
      <c r="B107" s="79"/>
      <c r="C107" s="80"/>
      <c r="D107" s="80"/>
      <c r="E107" s="80"/>
      <c r="F107" s="80"/>
      <c r="G107" s="64"/>
      <c r="H107" s="81">
        <f>MEDIAN(H5:H104)</f>
        <v>21866853</v>
      </c>
      <c r="I107" s="81"/>
      <c r="J107" s="81"/>
      <c r="K107" s="81"/>
      <c r="L107" s="81"/>
      <c r="M107" s="81"/>
      <c r="N107" s="81"/>
      <c r="O107" s="81"/>
      <c r="P107" s="81"/>
    </row>
    <row r="108" spans="1:21" x14ac:dyDescent="0.25">
      <c r="A108" s="79" t="s">
        <v>480</v>
      </c>
      <c r="B108" s="79"/>
      <c r="C108" s="80"/>
      <c r="D108" s="80"/>
      <c r="E108" s="80"/>
      <c r="F108" s="80"/>
      <c r="G108" s="64"/>
      <c r="H108" s="81">
        <f>MAX(H5:H104)</f>
        <v>905220074</v>
      </c>
      <c r="I108" s="81"/>
      <c r="J108" s="81"/>
      <c r="K108" s="81"/>
      <c r="L108" s="81"/>
      <c r="M108" s="81"/>
      <c r="N108" s="81"/>
      <c r="O108" s="81"/>
      <c r="P108" s="81"/>
    </row>
    <row r="109" spans="1:21" x14ac:dyDescent="0.25">
      <c r="A109" s="79" t="s">
        <v>481</v>
      </c>
      <c r="B109" s="79"/>
      <c r="C109" s="80"/>
      <c r="D109" s="80"/>
      <c r="E109" s="80"/>
      <c r="F109" s="80"/>
      <c r="G109" s="64"/>
      <c r="H109" s="81">
        <f>MIN(H5:H104)</f>
        <v>9522043</v>
      </c>
      <c r="I109" s="81"/>
      <c r="J109" s="81"/>
      <c r="K109" s="81"/>
      <c r="L109" s="81"/>
      <c r="M109" s="81"/>
      <c r="N109" s="81"/>
      <c r="O109" s="81"/>
      <c r="P109" s="81"/>
    </row>
    <row r="110" spans="1:21" x14ac:dyDescent="0.25">
      <c r="A110" s="79" t="s">
        <v>482</v>
      </c>
      <c r="B110" s="79"/>
      <c r="C110" s="80"/>
      <c r="D110" s="80"/>
      <c r="E110" s="80"/>
      <c r="F110" s="80"/>
      <c r="G110" s="64"/>
      <c r="H110" s="81"/>
      <c r="I110" s="81">
        <f>_xlfn.QUARTILE.EXC(I5:I104,1)</f>
        <v>5792380</v>
      </c>
      <c r="J110" s="81"/>
      <c r="K110" s="81"/>
      <c r="L110" s="81"/>
      <c r="M110" s="81"/>
      <c r="N110" s="81"/>
      <c r="O110" s="81"/>
      <c r="P110" s="81"/>
    </row>
    <row r="111" spans="1:21" x14ac:dyDescent="0.25">
      <c r="A111" s="79" t="s">
        <v>483</v>
      </c>
      <c r="B111" s="79"/>
      <c r="C111" s="80"/>
      <c r="D111" s="80"/>
      <c r="E111" s="80"/>
      <c r="F111" s="80"/>
      <c r="G111" s="64"/>
      <c r="H111" s="81"/>
      <c r="I111" s="81">
        <f>_xlfn.QUARTILE.EXC(I5:I104,2)</f>
        <v>12030223</v>
      </c>
      <c r="J111" s="81"/>
      <c r="K111" s="81"/>
      <c r="L111" s="81"/>
      <c r="M111" s="81"/>
      <c r="N111" s="81"/>
      <c r="O111" s="81"/>
      <c r="P111" s="81"/>
    </row>
    <row r="112" spans="1:21" x14ac:dyDescent="0.25">
      <c r="A112" s="79" t="s">
        <v>484</v>
      </c>
      <c r="B112" s="79"/>
      <c r="C112" s="80"/>
      <c r="D112" s="80"/>
      <c r="E112" s="80"/>
      <c r="F112" s="80"/>
      <c r="G112" s="64"/>
      <c r="H112" s="81"/>
      <c r="I112" s="81">
        <f>_xlfn.QUARTILE.EXC(I5:I104,3)</f>
        <v>22929973</v>
      </c>
      <c r="J112" s="81"/>
      <c r="K112" s="81"/>
      <c r="L112" s="81"/>
      <c r="M112" s="81"/>
      <c r="N112" s="81"/>
      <c r="O112" s="81"/>
      <c r="P112" s="81"/>
    </row>
    <row r="113" spans="1:16" x14ac:dyDescent="0.25">
      <c r="A113" s="79" t="s">
        <v>485</v>
      </c>
      <c r="B113" s="79"/>
      <c r="C113" s="80"/>
      <c r="D113" s="80"/>
      <c r="E113" s="80"/>
      <c r="F113" s="80"/>
      <c r="G113" s="64"/>
      <c r="H113" s="81"/>
      <c r="I113" s="82"/>
      <c r="J113" s="81"/>
      <c r="K113" s="81"/>
      <c r="L113" s="81"/>
      <c r="M113" s="82">
        <f>_xlfn.PERCENTILE.EXC(M5:M104,0.9)</f>
        <v>12828046.000000004</v>
      </c>
      <c r="N113" s="81"/>
      <c r="O113" s="81"/>
      <c r="P113" s="81"/>
    </row>
    <row r="114" spans="1:16" x14ac:dyDescent="0.25">
      <c r="A114" s="79" t="s">
        <v>324</v>
      </c>
      <c r="B114" s="79"/>
      <c r="C114" s="80"/>
      <c r="D114" s="80"/>
      <c r="E114" s="80"/>
      <c r="F114" s="80"/>
      <c r="G114" s="64"/>
      <c r="H114" s="81"/>
      <c r="I114" s="81"/>
      <c r="J114" s="81"/>
      <c r="K114" s="81"/>
      <c r="L114" s="81"/>
      <c r="M114" s="81"/>
      <c r="N114" s="81"/>
      <c r="O114" s="81">
        <f>SUM(O5:O104)</f>
        <v>2046</v>
      </c>
      <c r="P114" s="81"/>
    </row>
    <row r="115" spans="1:16" x14ac:dyDescent="0.25">
      <c r="A115" s="79" t="s">
        <v>486</v>
      </c>
      <c r="B115" s="79"/>
      <c r="C115" s="80"/>
      <c r="D115" s="80"/>
      <c r="E115" s="80"/>
      <c r="F115" s="80"/>
      <c r="G115" s="64"/>
      <c r="H115" s="81"/>
      <c r="I115" s="81"/>
      <c r="J115" s="81"/>
      <c r="K115" s="81"/>
      <c r="L115" s="81"/>
      <c r="M115" s="81"/>
      <c r="N115" s="81"/>
      <c r="O115" s="81">
        <f>AVERAGE(O5:O104)</f>
        <v>26.921052631578949</v>
      </c>
      <c r="P115" s="81"/>
    </row>
    <row r="116" spans="1:16" x14ac:dyDescent="0.25">
      <c r="A116" s="79" t="s">
        <v>487</v>
      </c>
      <c r="B116" s="79"/>
      <c r="C116" s="80"/>
      <c r="D116" s="80"/>
      <c r="E116" s="80"/>
      <c r="F116" s="80"/>
      <c r="G116" s="80"/>
      <c r="H116" s="81"/>
      <c r="I116" s="81"/>
      <c r="J116" s="81"/>
      <c r="K116" s="81"/>
      <c r="L116" s="81"/>
      <c r="M116" s="81"/>
      <c r="N116" s="81"/>
      <c r="O116" s="81">
        <f>MEDIAN(O5:O104)</f>
        <v>4</v>
      </c>
      <c r="P116" s="81"/>
    </row>
    <row r="117" spans="1:16" x14ac:dyDescent="0.25">
      <c r="A117" s="79" t="s">
        <v>489</v>
      </c>
      <c r="B117" s="79"/>
      <c r="C117" s="80"/>
      <c r="D117" s="80"/>
      <c r="E117" s="80">
        <f>COUNTIF(E5:E116,E5)</f>
        <v>10</v>
      </c>
      <c r="F117" s="80"/>
      <c r="G117" s="80"/>
      <c r="H117" s="82"/>
      <c r="I117" s="81"/>
      <c r="J117" s="81"/>
      <c r="K117" s="81"/>
      <c r="L117" s="81"/>
      <c r="M117" s="81"/>
      <c r="N117" s="81"/>
      <c r="O117" s="81"/>
      <c r="P117" s="81"/>
    </row>
    <row r="118" spans="1:16" x14ac:dyDescent="0.25">
      <c r="A118" s="79" t="s">
        <v>490</v>
      </c>
      <c r="B118" s="79"/>
      <c r="C118" s="80"/>
      <c r="D118" s="80">
        <f>COUNTIF(D5:D117,D6)</f>
        <v>4</v>
      </c>
      <c r="E118" s="80"/>
      <c r="F118" s="80"/>
      <c r="G118" s="80"/>
      <c r="H118" s="81"/>
      <c r="I118" s="81"/>
      <c r="J118" s="81"/>
      <c r="K118" s="81"/>
      <c r="L118" s="81"/>
      <c r="M118" s="81"/>
      <c r="N118" s="81"/>
      <c r="O118" s="81"/>
      <c r="P118" s="81"/>
    </row>
    <row r="119" spans="1:16" x14ac:dyDescent="0.25">
      <c r="A119" s="79" t="s">
        <v>500</v>
      </c>
      <c r="B119" s="79"/>
      <c r="C119" s="80"/>
      <c r="D119" s="80"/>
      <c r="E119" s="80"/>
      <c r="F119" s="80"/>
      <c r="G119" s="80"/>
      <c r="H119" s="82">
        <f>SUMIF(E5:E104,E5,H5:H104)</f>
        <v>1391478284</v>
      </c>
      <c r="I119" s="81"/>
      <c r="J119" s="81"/>
      <c r="K119" s="81"/>
      <c r="L119" s="81"/>
      <c r="M119" s="81"/>
      <c r="N119" s="81"/>
      <c r="O119" s="81"/>
      <c r="P119" s="81"/>
    </row>
    <row r="120" spans="1:16" x14ac:dyDescent="0.25">
      <c r="A120" s="79" t="s">
        <v>501</v>
      </c>
      <c r="B120" s="79"/>
      <c r="C120" s="80"/>
      <c r="D120" s="80"/>
      <c r="E120" s="80"/>
      <c r="F120" s="80"/>
      <c r="G120" s="80"/>
      <c r="H120" s="82"/>
      <c r="I120" s="81">
        <f>AVERAGEIF(E5:E104,E6,I5:I104)</f>
        <v>21919416.239130434</v>
      </c>
      <c r="J120" s="81"/>
      <c r="K120" s="81"/>
      <c r="L120" s="81"/>
      <c r="M120" s="81"/>
      <c r="N120" s="81"/>
      <c r="O120" s="81"/>
      <c r="P120" s="81"/>
    </row>
    <row r="121" spans="1:16" x14ac:dyDescent="0.25">
      <c r="A121" s="79" t="s">
        <v>502</v>
      </c>
      <c r="B121" s="79"/>
      <c r="C121" s="80"/>
      <c r="D121" s="80"/>
      <c r="E121" s="80"/>
      <c r="F121" s="80"/>
      <c r="G121" s="80"/>
      <c r="H121" s="82"/>
      <c r="I121" s="81"/>
      <c r="J121" s="81"/>
      <c r="K121" s="81"/>
      <c r="L121" s="81"/>
      <c r="M121" s="81"/>
      <c r="N121" s="81">
        <f>COUNTIFS(G5:G104,G8,N5:N104,"&gt;0")</f>
        <v>51</v>
      </c>
      <c r="O121" s="81"/>
      <c r="P121" s="81"/>
    </row>
    <row r="122" spans="1:16" x14ac:dyDescent="0.25">
      <c r="A122" s="79" t="s">
        <v>503</v>
      </c>
      <c r="B122" s="79"/>
      <c r="C122" s="80"/>
      <c r="D122" s="80"/>
      <c r="E122" s="80"/>
      <c r="F122" s="80"/>
      <c r="G122" s="80"/>
      <c r="H122" s="81"/>
      <c r="I122" s="81"/>
      <c r="J122" s="81"/>
      <c r="K122" s="81"/>
      <c r="L122" s="81"/>
      <c r="M122" s="81"/>
      <c r="N122" s="81">
        <f>SUMIF(E5:E104,E9,N5:N104)</f>
        <v>9215214</v>
      </c>
      <c r="O122" s="81"/>
      <c r="P122" s="81"/>
    </row>
    <row r="123" spans="1:16" x14ac:dyDescent="0.25">
      <c r="A123" s="83" t="s">
        <v>508</v>
      </c>
      <c r="B123" s="83"/>
      <c r="C123" s="80"/>
      <c r="D123" s="80"/>
      <c r="E123" s="80"/>
      <c r="F123" s="80"/>
      <c r="G123" s="80"/>
      <c r="H123" s="81"/>
      <c r="I123" s="81"/>
      <c r="J123" s="81"/>
      <c r="K123" s="81"/>
      <c r="L123" s="81"/>
      <c r="M123" s="81"/>
      <c r="N123" s="81"/>
      <c r="O123" s="81"/>
      <c r="P123" s="81"/>
    </row>
  </sheetData>
  <autoFilter ref="A4:U104" xr:uid="{00000000-0001-0000-0100-000000000000}"/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3"/>
  <sheetViews>
    <sheetView showGridLines="0" topLeftCell="A56" zoomScaleNormal="100" workbookViewId="0">
      <selection activeCell="E9" sqref="E9"/>
    </sheetView>
  </sheetViews>
  <sheetFormatPr defaultColWidth="8.7109375" defaultRowHeight="15" x14ac:dyDescent="0.25"/>
  <cols>
    <col min="1" max="1" width="22" customWidth="1"/>
    <col min="2" max="2" width="18.7109375" bestFit="1" customWidth="1"/>
    <col min="3" max="3" width="14" customWidth="1"/>
    <col min="4" max="4" width="19" bestFit="1" customWidth="1"/>
    <col min="5" max="8" width="14" customWidth="1"/>
    <col min="9" max="9" width="3" customWidth="1"/>
    <col min="10" max="10" width="22" customWidth="1"/>
    <col min="11" max="14" width="14" customWidth="1"/>
    <col min="15" max="15" width="3" customWidth="1"/>
  </cols>
  <sheetData>
    <row r="1" spans="1:14" ht="24" customHeight="1" x14ac:dyDescent="0.25">
      <c r="A1" s="98" t="s">
        <v>313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ht="15.75" customHeight="1" x14ac:dyDescent="0.25">
      <c r="A2" s="99" t="s">
        <v>314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4" spans="1:14" ht="21.75" customHeight="1" x14ac:dyDescent="0.25">
      <c r="A4" s="96" t="s">
        <v>315</v>
      </c>
      <c r="B4" s="96"/>
      <c r="C4" s="96"/>
      <c r="D4" s="96"/>
      <c r="E4" s="96"/>
      <c r="F4" s="96"/>
      <c r="G4" s="96"/>
      <c r="H4" s="96"/>
    </row>
    <row r="5" spans="1:14" x14ac:dyDescent="0.25">
      <c r="A5" s="95" t="s">
        <v>316</v>
      </c>
      <c r="B5" s="95"/>
      <c r="C5" s="95"/>
      <c r="D5" s="95"/>
      <c r="E5" s="95"/>
      <c r="F5" s="95"/>
      <c r="G5" s="95"/>
      <c r="H5" s="95"/>
    </row>
    <row r="6" spans="1:14" x14ac:dyDescent="0.25">
      <c r="A6" s="32" t="s">
        <v>317</v>
      </c>
      <c r="B6" s="32" t="s">
        <v>318</v>
      </c>
      <c r="C6" s="32" t="s">
        <v>319</v>
      </c>
      <c r="D6" s="32" t="s">
        <v>320</v>
      </c>
    </row>
    <row r="7" spans="1:14" x14ac:dyDescent="0.25">
      <c r="A7" s="33" t="s">
        <v>54</v>
      </c>
      <c r="B7" s="34">
        <v>4.67</v>
      </c>
      <c r="C7" s="35">
        <v>4</v>
      </c>
      <c r="D7" s="36">
        <v>0.9</v>
      </c>
    </row>
    <row r="8" spans="1:14" x14ac:dyDescent="0.25">
      <c r="A8" s="37" t="s">
        <v>46</v>
      </c>
      <c r="B8" s="38">
        <v>4.33</v>
      </c>
      <c r="C8" s="39">
        <v>11</v>
      </c>
      <c r="D8" s="40">
        <v>2.8</v>
      </c>
    </row>
    <row r="9" spans="1:14" x14ac:dyDescent="0.25">
      <c r="A9" s="33" t="s">
        <v>80</v>
      </c>
      <c r="B9" s="34">
        <v>3.02</v>
      </c>
      <c r="C9" s="35">
        <v>63</v>
      </c>
      <c r="D9" s="36">
        <v>2.2000000000000002</v>
      </c>
    </row>
    <row r="10" spans="1:14" x14ac:dyDescent="0.25">
      <c r="A10" s="37" t="s">
        <v>127</v>
      </c>
      <c r="B10" s="38">
        <v>3.83</v>
      </c>
      <c r="C10" s="39">
        <v>18</v>
      </c>
      <c r="D10" s="40">
        <v>0.2</v>
      </c>
    </row>
    <row r="11" spans="1:14" x14ac:dyDescent="0.25">
      <c r="A11" s="33" t="s">
        <v>194</v>
      </c>
      <c r="B11" s="34">
        <v>3.98</v>
      </c>
      <c r="C11" s="35">
        <v>3</v>
      </c>
      <c r="D11" s="36">
        <v>0</v>
      </c>
    </row>
    <row r="12" spans="1:14" x14ac:dyDescent="0.25">
      <c r="A12" s="60"/>
      <c r="B12" s="61"/>
      <c r="C12" s="62"/>
      <c r="D12" s="63"/>
    </row>
    <row r="13" spans="1:14" x14ac:dyDescent="0.25">
      <c r="A13" s="60"/>
      <c r="B13" s="61"/>
      <c r="C13" s="62"/>
      <c r="D13" s="63"/>
    </row>
    <row r="14" spans="1:14" x14ac:dyDescent="0.25">
      <c r="A14" s="60"/>
      <c r="B14" s="61"/>
      <c r="C14" s="62"/>
      <c r="D14" s="63"/>
    </row>
    <row r="15" spans="1:14" x14ac:dyDescent="0.25">
      <c r="A15" s="60"/>
      <c r="B15" s="61"/>
      <c r="C15" s="62"/>
      <c r="D15" s="63"/>
    </row>
    <row r="16" spans="1:14" x14ac:dyDescent="0.25">
      <c r="A16" s="60"/>
      <c r="B16" s="61"/>
      <c r="C16" s="62"/>
      <c r="D16" s="63"/>
    </row>
    <row r="17" spans="1:8" x14ac:dyDescent="0.25">
      <c r="A17" s="60"/>
      <c r="B17" s="61"/>
      <c r="C17" s="62"/>
      <c r="D17" s="63"/>
    </row>
    <row r="18" spans="1:8" x14ac:dyDescent="0.25">
      <c r="A18" s="60"/>
      <c r="B18" s="61"/>
      <c r="C18" s="62"/>
      <c r="D18" s="63"/>
    </row>
    <row r="19" spans="1:8" x14ac:dyDescent="0.25">
      <c r="A19" s="60"/>
      <c r="B19" s="61"/>
      <c r="C19" s="62"/>
      <c r="D19" s="63"/>
    </row>
    <row r="20" spans="1:8" x14ac:dyDescent="0.25">
      <c r="A20" s="60"/>
      <c r="B20" s="61"/>
      <c r="C20" s="62"/>
      <c r="D20" s="63"/>
    </row>
    <row r="21" spans="1:8" x14ac:dyDescent="0.25">
      <c r="A21" s="60"/>
      <c r="B21" s="61"/>
      <c r="C21" s="62"/>
      <c r="D21" s="63"/>
    </row>
    <row r="22" spans="1:8" x14ac:dyDescent="0.25">
      <c r="A22" s="60"/>
      <c r="B22" s="61"/>
      <c r="C22" s="62"/>
      <c r="D22" s="63"/>
    </row>
    <row r="23" spans="1:8" x14ac:dyDescent="0.25">
      <c r="A23" s="60"/>
      <c r="B23" s="61"/>
      <c r="C23" s="62"/>
      <c r="D23" s="63"/>
    </row>
    <row r="24" spans="1:8" x14ac:dyDescent="0.25">
      <c r="A24" s="60"/>
      <c r="B24" s="61"/>
      <c r="C24" s="62"/>
      <c r="D24" s="63"/>
    </row>
    <row r="25" spans="1:8" x14ac:dyDescent="0.25">
      <c r="A25" s="60"/>
      <c r="B25" s="61"/>
      <c r="C25" s="62"/>
      <c r="D25" s="63"/>
    </row>
    <row r="26" spans="1:8" x14ac:dyDescent="0.25">
      <c r="A26" s="60"/>
      <c r="B26" s="61"/>
      <c r="C26" s="62"/>
      <c r="D26" s="63"/>
    </row>
    <row r="27" spans="1:8" x14ac:dyDescent="0.25">
      <c r="A27" s="60"/>
      <c r="B27" s="61"/>
      <c r="C27" s="62"/>
      <c r="D27" s="63"/>
    </row>
    <row r="29" spans="1:8" ht="21.75" customHeight="1" x14ac:dyDescent="0.25">
      <c r="A29" s="100" t="s">
        <v>321</v>
      </c>
      <c r="B29" s="100"/>
      <c r="C29" s="100"/>
      <c r="D29" s="100"/>
      <c r="E29" s="100"/>
      <c r="F29" s="100"/>
      <c r="G29" s="100"/>
      <c r="H29" s="100"/>
    </row>
    <row r="30" spans="1:8" x14ac:dyDescent="0.25">
      <c r="A30" s="95" t="s">
        <v>322</v>
      </c>
      <c r="B30" s="95"/>
      <c r="C30" s="95"/>
      <c r="D30" s="95"/>
      <c r="E30" s="95"/>
      <c r="F30" s="95"/>
      <c r="G30" s="95"/>
      <c r="H30" s="95"/>
    </row>
    <row r="31" spans="1:8" x14ac:dyDescent="0.25">
      <c r="A31" s="32" t="s">
        <v>234</v>
      </c>
      <c r="B31" s="32" t="s">
        <v>320</v>
      </c>
      <c r="C31" s="32" t="s">
        <v>323</v>
      </c>
      <c r="D31" s="32" t="s">
        <v>319</v>
      </c>
    </row>
    <row r="32" spans="1:8" x14ac:dyDescent="0.25">
      <c r="A32" s="41" t="s">
        <v>51</v>
      </c>
      <c r="B32" s="36">
        <v>1.4</v>
      </c>
      <c r="C32" s="42">
        <v>22.7</v>
      </c>
      <c r="D32" s="35">
        <v>10</v>
      </c>
    </row>
    <row r="33" spans="1:4" x14ac:dyDescent="0.25">
      <c r="A33" s="43" t="s">
        <v>57</v>
      </c>
      <c r="B33" s="40">
        <v>3.2</v>
      </c>
      <c r="C33" s="44">
        <v>51.7</v>
      </c>
      <c r="D33" s="39">
        <v>53</v>
      </c>
    </row>
    <row r="34" spans="1:4" x14ac:dyDescent="0.25">
      <c r="A34" s="41" t="s">
        <v>66</v>
      </c>
      <c r="B34" s="36">
        <v>1.6</v>
      </c>
      <c r="C34" s="42">
        <v>25.7</v>
      </c>
      <c r="D34" s="35">
        <v>36</v>
      </c>
    </row>
    <row r="35" spans="1:4" x14ac:dyDescent="0.25">
      <c r="A35" s="45" t="s">
        <v>324</v>
      </c>
      <c r="B35" s="46">
        <f>SUM(B32:B34)</f>
        <v>6.1999999999999993</v>
      </c>
      <c r="C35" s="47">
        <f>SUM(C32:C34)</f>
        <v>100.10000000000001</v>
      </c>
      <c r="D35" s="32">
        <f>SUM(D32:D34)</f>
        <v>99</v>
      </c>
    </row>
    <row r="53" spans="1:8" ht="21.75" customHeight="1" x14ac:dyDescent="0.25">
      <c r="A53" s="96" t="s">
        <v>325</v>
      </c>
      <c r="B53" s="96"/>
      <c r="C53" s="96"/>
      <c r="D53" s="96"/>
      <c r="E53" s="96"/>
      <c r="F53" s="96"/>
      <c r="G53" s="96"/>
      <c r="H53" s="96"/>
    </row>
    <row r="54" spans="1:8" x14ac:dyDescent="0.25">
      <c r="A54" s="95" t="s">
        <v>326</v>
      </c>
      <c r="B54" s="95"/>
      <c r="C54" s="95"/>
      <c r="D54" s="95"/>
      <c r="E54" s="95"/>
      <c r="F54" s="95"/>
      <c r="G54" s="95"/>
      <c r="H54" s="95"/>
    </row>
    <row r="55" spans="1:8" x14ac:dyDescent="0.25">
      <c r="A55" s="32" t="s">
        <v>25</v>
      </c>
      <c r="B55" s="32" t="s">
        <v>320</v>
      </c>
      <c r="C55" s="32" t="s">
        <v>317</v>
      </c>
      <c r="D55" s="32" t="s">
        <v>234</v>
      </c>
    </row>
    <row r="56" spans="1:8" x14ac:dyDescent="0.25">
      <c r="A56" s="48" t="s">
        <v>327</v>
      </c>
      <c r="B56" s="36">
        <v>0.9</v>
      </c>
      <c r="C56" s="35" t="s">
        <v>46</v>
      </c>
      <c r="D56" s="48" t="s">
        <v>51</v>
      </c>
    </row>
    <row r="57" spans="1:8" x14ac:dyDescent="0.25">
      <c r="A57" s="49" t="s">
        <v>52</v>
      </c>
      <c r="B57" s="40">
        <v>0.7</v>
      </c>
      <c r="C57" s="39" t="s">
        <v>54</v>
      </c>
      <c r="D57" s="49" t="s">
        <v>57</v>
      </c>
    </row>
    <row r="58" spans="1:8" x14ac:dyDescent="0.25">
      <c r="A58" s="48" t="s">
        <v>58</v>
      </c>
      <c r="B58" s="36">
        <v>0.3</v>
      </c>
      <c r="C58" s="35" t="s">
        <v>46</v>
      </c>
      <c r="D58" s="48" t="s">
        <v>57</v>
      </c>
    </row>
    <row r="59" spans="1:8" x14ac:dyDescent="0.25">
      <c r="A59" s="49" t="s">
        <v>59</v>
      </c>
      <c r="B59" s="40">
        <v>0.3</v>
      </c>
      <c r="C59" s="39" t="s">
        <v>46</v>
      </c>
      <c r="D59" s="49" t="s">
        <v>57</v>
      </c>
    </row>
    <row r="60" spans="1:8" x14ac:dyDescent="0.25">
      <c r="A60" s="48" t="s">
        <v>62</v>
      </c>
      <c r="B60" s="36">
        <v>0.2</v>
      </c>
      <c r="C60" s="35" t="s">
        <v>46</v>
      </c>
      <c r="D60" s="48" t="s">
        <v>66</v>
      </c>
    </row>
    <row r="61" spans="1:8" x14ac:dyDescent="0.25">
      <c r="A61" s="49" t="s">
        <v>67</v>
      </c>
      <c r="B61" s="40">
        <v>0.2</v>
      </c>
      <c r="C61" s="39" t="s">
        <v>46</v>
      </c>
      <c r="D61" s="49" t="s">
        <v>57</v>
      </c>
    </row>
    <row r="62" spans="1:8" x14ac:dyDescent="0.25">
      <c r="A62" s="48" t="s">
        <v>70</v>
      </c>
      <c r="B62" s="36">
        <v>0.2</v>
      </c>
      <c r="C62" s="35" t="s">
        <v>46</v>
      </c>
      <c r="D62" s="48" t="s">
        <v>57</v>
      </c>
    </row>
    <row r="63" spans="1:8" x14ac:dyDescent="0.25">
      <c r="A63" s="49" t="s">
        <v>73</v>
      </c>
      <c r="B63" s="40">
        <v>0.2</v>
      </c>
      <c r="C63" s="39" t="s">
        <v>46</v>
      </c>
      <c r="D63" s="49" t="s">
        <v>66</v>
      </c>
    </row>
    <row r="64" spans="1:8" x14ac:dyDescent="0.25">
      <c r="A64" s="48" t="s">
        <v>74</v>
      </c>
      <c r="B64" s="36">
        <v>0.2</v>
      </c>
      <c r="C64" s="35" t="s">
        <v>46</v>
      </c>
      <c r="D64" s="48" t="s">
        <v>51</v>
      </c>
    </row>
    <row r="65" spans="1:4" x14ac:dyDescent="0.25">
      <c r="A65" s="49" t="s">
        <v>75</v>
      </c>
      <c r="B65" s="40">
        <v>0.1</v>
      </c>
      <c r="C65" s="39" t="s">
        <v>46</v>
      </c>
      <c r="D65" s="49" t="s">
        <v>57</v>
      </c>
    </row>
    <row r="83" spans="1:8" x14ac:dyDescent="0.25">
      <c r="A83" s="97" t="s">
        <v>328</v>
      </c>
      <c r="B83" s="97"/>
      <c r="C83" s="97"/>
      <c r="D83" s="97"/>
      <c r="E83" s="97"/>
      <c r="F83" s="97"/>
      <c r="G83" s="97"/>
      <c r="H83" s="97"/>
    </row>
  </sheetData>
  <mergeCells count="9">
    <mergeCell ref="A30:H30"/>
    <mergeCell ref="A53:H53"/>
    <mergeCell ref="A54:H54"/>
    <mergeCell ref="A83:H83"/>
    <mergeCell ref="A1:N1"/>
    <mergeCell ref="A2:N2"/>
    <mergeCell ref="A4:H4"/>
    <mergeCell ref="A5:H5"/>
    <mergeCell ref="A29:H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showGridLines="0" topLeftCell="A71" zoomScaleNormal="100" workbookViewId="0">
      <selection activeCell="D11" sqref="D11"/>
    </sheetView>
  </sheetViews>
  <sheetFormatPr defaultColWidth="8.7109375" defaultRowHeight="15" x14ac:dyDescent="0.25"/>
  <cols>
    <col min="1" max="1" width="28" customWidth="1"/>
    <col min="2" max="2" width="20.42578125" bestFit="1" customWidth="1"/>
    <col min="3" max="3" width="22.7109375" bestFit="1" customWidth="1"/>
    <col min="4" max="4" width="16" customWidth="1"/>
    <col min="5" max="5" width="19" bestFit="1" customWidth="1"/>
    <col min="6" max="6" width="16" customWidth="1"/>
    <col min="7" max="7" width="3" customWidth="1"/>
    <col min="8" max="8" width="28" customWidth="1"/>
    <col min="9" max="10" width="16" customWidth="1"/>
  </cols>
  <sheetData>
    <row r="1" spans="1:10" ht="24" customHeight="1" x14ac:dyDescent="0.25">
      <c r="A1" s="98" t="s">
        <v>329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15.75" customHeight="1" x14ac:dyDescent="0.25">
      <c r="A2" s="99" t="s">
        <v>330</v>
      </c>
      <c r="B2" s="99"/>
      <c r="C2" s="99"/>
      <c r="D2" s="99"/>
      <c r="E2" s="99"/>
      <c r="F2" s="99"/>
      <c r="G2" s="99"/>
      <c r="H2" s="99"/>
      <c r="I2" s="99"/>
      <c r="J2" s="99"/>
    </row>
    <row r="4" spans="1:10" ht="21.75" customHeight="1" x14ac:dyDescent="0.25">
      <c r="A4" s="96" t="s">
        <v>331</v>
      </c>
      <c r="B4" s="96"/>
      <c r="C4" s="96"/>
      <c r="D4" s="96"/>
      <c r="E4" s="96"/>
      <c r="F4" s="96"/>
    </row>
    <row r="5" spans="1:10" x14ac:dyDescent="0.25">
      <c r="A5" s="101" t="s">
        <v>332</v>
      </c>
      <c r="B5" s="101"/>
      <c r="C5" s="101"/>
      <c r="D5" s="101"/>
      <c r="E5" s="101"/>
      <c r="F5" s="101"/>
    </row>
    <row r="6" spans="1:10" x14ac:dyDescent="0.25">
      <c r="A6" s="102" t="s">
        <v>333</v>
      </c>
      <c r="B6" s="102"/>
      <c r="C6" s="102"/>
      <c r="D6" s="102"/>
      <c r="E6" s="102"/>
      <c r="F6" s="102"/>
    </row>
    <row r="7" spans="1:10" x14ac:dyDescent="0.25">
      <c r="A7" s="102" t="s">
        <v>334</v>
      </c>
      <c r="B7" s="102"/>
      <c r="C7" s="102"/>
      <c r="D7" s="102"/>
      <c r="E7" s="102"/>
      <c r="F7" s="102"/>
    </row>
    <row r="8" spans="1:10" x14ac:dyDescent="0.25">
      <c r="A8" s="103" t="s">
        <v>335</v>
      </c>
      <c r="B8" s="103"/>
      <c r="C8" s="103"/>
      <c r="D8" s="103"/>
      <c r="E8" s="103"/>
      <c r="F8" s="103"/>
    </row>
    <row r="9" spans="1:10" x14ac:dyDescent="0.25">
      <c r="A9" s="32" t="s">
        <v>317</v>
      </c>
      <c r="B9" s="32" t="s">
        <v>336</v>
      </c>
      <c r="C9" s="32" t="s">
        <v>320</v>
      </c>
      <c r="D9" s="32" t="s">
        <v>319</v>
      </c>
    </row>
    <row r="10" spans="1:10" x14ac:dyDescent="0.25">
      <c r="A10" s="33" t="s">
        <v>54</v>
      </c>
      <c r="B10" s="36">
        <v>0.2</v>
      </c>
      <c r="C10" s="36">
        <v>0.9</v>
      </c>
      <c r="D10" s="35">
        <v>4</v>
      </c>
    </row>
    <row r="11" spans="1:10" x14ac:dyDescent="0.25">
      <c r="A11" s="37" t="s">
        <v>46</v>
      </c>
      <c r="B11" s="40">
        <v>0.3</v>
      </c>
      <c r="C11" s="40">
        <v>2.8</v>
      </c>
      <c r="D11" s="39">
        <v>11</v>
      </c>
    </row>
    <row r="12" spans="1:10" x14ac:dyDescent="0.25">
      <c r="A12" s="33" t="s">
        <v>80</v>
      </c>
      <c r="B12" s="36">
        <v>0</v>
      </c>
      <c r="C12" s="36">
        <v>2.2000000000000002</v>
      </c>
      <c r="D12" s="35">
        <v>63</v>
      </c>
    </row>
    <row r="13" spans="1:10" x14ac:dyDescent="0.25">
      <c r="A13" s="37" t="s">
        <v>127</v>
      </c>
      <c r="B13" s="40">
        <v>0</v>
      </c>
      <c r="C13" s="40">
        <v>0.2</v>
      </c>
      <c r="D13" s="39">
        <v>18</v>
      </c>
    </row>
    <row r="14" spans="1:10" x14ac:dyDescent="0.25">
      <c r="A14" s="33" t="s">
        <v>194</v>
      </c>
      <c r="B14" s="36">
        <v>0</v>
      </c>
      <c r="C14" s="36">
        <v>0</v>
      </c>
      <c r="D14" s="35">
        <v>3</v>
      </c>
    </row>
    <row r="16" spans="1:10" x14ac:dyDescent="0.25">
      <c r="A16" s="104" t="s">
        <v>337</v>
      </c>
      <c r="B16" s="104"/>
      <c r="C16" s="104"/>
      <c r="D16" s="104"/>
      <c r="E16" s="104"/>
      <c r="F16" s="104"/>
    </row>
    <row r="17" spans="1:6" x14ac:dyDescent="0.25">
      <c r="A17" s="105" t="s">
        <v>338</v>
      </c>
      <c r="B17" s="105"/>
      <c r="C17" s="105"/>
      <c r="D17" s="105"/>
      <c r="E17" s="105"/>
      <c r="F17" s="105"/>
    </row>
    <row r="19" spans="1:6" ht="21.75" customHeight="1" x14ac:dyDescent="0.25">
      <c r="A19" s="100" t="s">
        <v>339</v>
      </c>
      <c r="B19" s="100"/>
      <c r="C19" s="100"/>
      <c r="D19" s="100"/>
      <c r="E19" s="100"/>
      <c r="F19" s="100"/>
    </row>
    <row r="20" spans="1:6" x14ac:dyDescent="0.25">
      <c r="A20" s="101" t="s">
        <v>340</v>
      </c>
      <c r="B20" s="101"/>
      <c r="C20" s="101"/>
      <c r="D20" s="101"/>
      <c r="E20" s="101"/>
      <c r="F20" s="101"/>
    </row>
    <row r="21" spans="1:6" x14ac:dyDescent="0.25">
      <c r="A21" s="102" t="s">
        <v>341</v>
      </c>
      <c r="B21" s="102"/>
      <c r="C21" s="102"/>
      <c r="D21" s="102"/>
      <c r="E21" s="102"/>
      <c r="F21" s="102"/>
    </row>
    <row r="22" spans="1:6" x14ac:dyDescent="0.25">
      <c r="A22" s="102" t="s">
        <v>342</v>
      </c>
      <c r="B22" s="102"/>
      <c r="C22" s="102"/>
      <c r="D22" s="102"/>
      <c r="E22" s="102"/>
      <c r="F22" s="102"/>
    </row>
    <row r="23" spans="1:6" x14ac:dyDescent="0.25">
      <c r="A23" s="106" t="s">
        <v>343</v>
      </c>
      <c r="B23" s="106"/>
      <c r="C23" s="106"/>
      <c r="D23" s="106"/>
      <c r="E23" s="106"/>
      <c r="F23" s="106"/>
    </row>
    <row r="24" spans="1:6" x14ac:dyDescent="0.25">
      <c r="A24" s="103" t="s">
        <v>344</v>
      </c>
      <c r="B24" s="103"/>
      <c r="C24" s="103"/>
      <c r="D24" s="103"/>
      <c r="E24" s="103"/>
      <c r="F24" s="103"/>
    </row>
    <row r="25" spans="1:6" x14ac:dyDescent="0.25">
      <c r="A25" s="32" t="s">
        <v>234</v>
      </c>
      <c r="B25" s="32" t="s">
        <v>319</v>
      </c>
      <c r="C25" s="32" t="s">
        <v>323</v>
      </c>
    </row>
    <row r="26" spans="1:6" x14ac:dyDescent="0.25">
      <c r="A26" s="48" t="s">
        <v>51</v>
      </c>
      <c r="B26" s="35">
        <v>10</v>
      </c>
      <c r="C26" s="42">
        <f>B26/SUM(B26:B28)*100</f>
        <v>10.1010101010101</v>
      </c>
    </row>
    <row r="27" spans="1:6" x14ac:dyDescent="0.25">
      <c r="A27" s="49" t="s">
        <v>57</v>
      </c>
      <c r="B27" s="39">
        <v>53</v>
      </c>
      <c r="C27" s="44">
        <f>B27/SUM(B26:B28)*100</f>
        <v>53.535353535353536</v>
      </c>
    </row>
    <row r="28" spans="1:6" x14ac:dyDescent="0.25">
      <c r="A28" s="48" t="s">
        <v>66</v>
      </c>
      <c r="B28" s="35">
        <v>36</v>
      </c>
      <c r="C28" s="42">
        <f>B28/SUM(B26:B28)*100</f>
        <v>36.363636363636367</v>
      </c>
    </row>
    <row r="29" spans="1:6" x14ac:dyDescent="0.25">
      <c r="A29" s="45" t="s">
        <v>324</v>
      </c>
      <c r="B29" s="32">
        <f>SUM(B26:B28)</f>
        <v>99</v>
      </c>
      <c r="C29" s="47">
        <f>SUM(C26:C28)</f>
        <v>100</v>
      </c>
    </row>
    <row r="31" spans="1:6" x14ac:dyDescent="0.25">
      <c r="A31" s="104" t="s">
        <v>345</v>
      </c>
      <c r="B31" s="104"/>
      <c r="C31" s="104"/>
      <c r="D31" s="104"/>
      <c r="E31" s="104"/>
      <c r="F31" s="104"/>
    </row>
    <row r="32" spans="1:6" x14ac:dyDescent="0.25">
      <c r="A32" s="105" t="s">
        <v>346</v>
      </c>
      <c r="B32" s="105"/>
      <c r="C32" s="105"/>
      <c r="D32" s="105"/>
      <c r="E32" s="105"/>
      <c r="F32" s="105"/>
    </row>
    <row r="34" spans="1:6" ht="21.75" customHeight="1" x14ac:dyDescent="0.25">
      <c r="A34" s="96" t="s">
        <v>347</v>
      </c>
      <c r="B34" s="96"/>
      <c r="C34" s="96"/>
      <c r="D34" s="96"/>
      <c r="E34" s="96"/>
      <c r="F34" s="96"/>
    </row>
    <row r="35" spans="1:6" x14ac:dyDescent="0.25">
      <c r="A35" s="101" t="s">
        <v>348</v>
      </c>
      <c r="B35" s="101"/>
      <c r="C35" s="101"/>
      <c r="D35" s="101"/>
      <c r="E35" s="101"/>
      <c r="F35" s="101"/>
    </row>
    <row r="36" spans="1:6" x14ac:dyDescent="0.25">
      <c r="A36" s="102" t="s">
        <v>349</v>
      </c>
      <c r="B36" s="102"/>
      <c r="C36" s="102"/>
      <c r="D36" s="102"/>
      <c r="E36" s="102"/>
      <c r="F36" s="102"/>
    </row>
    <row r="37" spans="1:6" x14ac:dyDescent="0.25">
      <c r="A37" s="102" t="s">
        <v>350</v>
      </c>
      <c r="B37" s="102"/>
      <c r="C37" s="102"/>
      <c r="D37" s="102"/>
      <c r="E37" s="102"/>
      <c r="F37" s="102"/>
    </row>
    <row r="38" spans="1:6" x14ac:dyDescent="0.25">
      <c r="A38" s="103" t="s">
        <v>351</v>
      </c>
      <c r="B38" s="103"/>
      <c r="C38" s="103"/>
      <c r="D38" s="103"/>
      <c r="E38" s="103"/>
      <c r="F38" s="103"/>
    </row>
    <row r="39" spans="1:6" x14ac:dyDescent="0.25">
      <c r="A39" s="106" t="s">
        <v>352</v>
      </c>
      <c r="B39" s="106"/>
      <c r="C39" s="106"/>
      <c r="D39" s="106"/>
      <c r="E39" s="106"/>
      <c r="F39" s="106"/>
    </row>
    <row r="40" spans="1:6" x14ac:dyDescent="0.25">
      <c r="A40" s="32" t="s">
        <v>25</v>
      </c>
      <c r="B40" s="32" t="s">
        <v>320</v>
      </c>
      <c r="C40" s="32" t="s">
        <v>43</v>
      </c>
      <c r="D40" s="32" t="s">
        <v>317</v>
      </c>
      <c r="E40" s="32" t="s">
        <v>234</v>
      </c>
    </row>
    <row r="41" spans="1:6" x14ac:dyDescent="0.25">
      <c r="A41" s="48" t="s">
        <v>327</v>
      </c>
      <c r="B41" s="36">
        <v>0.9</v>
      </c>
      <c r="C41" s="34">
        <v>2.31</v>
      </c>
      <c r="D41" s="35" t="s">
        <v>46</v>
      </c>
      <c r="E41" s="48" t="s">
        <v>51</v>
      </c>
    </row>
    <row r="42" spans="1:6" x14ac:dyDescent="0.25">
      <c r="A42" s="49" t="s">
        <v>52</v>
      </c>
      <c r="B42" s="40">
        <v>0.7</v>
      </c>
      <c r="C42" s="38">
        <v>6.37</v>
      </c>
      <c r="D42" s="39" t="s">
        <v>54</v>
      </c>
      <c r="E42" s="49" t="s">
        <v>57</v>
      </c>
    </row>
    <row r="43" spans="1:6" x14ac:dyDescent="0.25">
      <c r="A43" s="48" t="s">
        <v>58</v>
      </c>
      <c r="B43" s="36">
        <v>0.3</v>
      </c>
      <c r="C43" s="34">
        <v>1.69</v>
      </c>
      <c r="D43" s="35" t="s">
        <v>46</v>
      </c>
      <c r="E43" s="48" t="s">
        <v>57</v>
      </c>
    </row>
    <row r="44" spans="1:6" x14ac:dyDescent="0.25">
      <c r="A44" s="49" t="s">
        <v>59</v>
      </c>
      <c r="B44" s="40">
        <v>0.3</v>
      </c>
      <c r="C44" s="38">
        <v>5.91</v>
      </c>
      <c r="D44" s="39" t="s">
        <v>46</v>
      </c>
      <c r="E44" s="49" t="s">
        <v>57</v>
      </c>
    </row>
    <row r="45" spans="1:6" x14ac:dyDescent="0.25">
      <c r="A45" s="48" t="s">
        <v>62</v>
      </c>
      <c r="B45" s="36">
        <v>0.2</v>
      </c>
      <c r="C45" s="34">
        <v>17.920000000000002</v>
      </c>
      <c r="D45" s="35" t="s">
        <v>46</v>
      </c>
      <c r="E45" s="48" t="s">
        <v>66</v>
      </c>
    </row>
    <row r="46" spans="1:6" x14ac:dyDescent="0.25">
      <c r="A46" s="49" t="s">
        <v>67</v>
      </c>
      <c r="B46" s="40">
        <v>0.2</v>
      </c>
      <c r="C46" s="38">
        <v>0.28999999999999998</v>
      </c>
      <c r="D46" s="39" t="s">
        <v>46</v>
      </c>
      <c r="E46" s="49" t="s">
        <v>57</v>
      </c>
    </row>
    <row r="47" spans="1:6" x14ac:dyDescent="0.25">
      <c r="A47" s="48" t="s">
        <v>70</v>
      </c>
      <c r="B47" s="36">
        <v>0.2</v>
      </c>
      <c r="C47" s="34">
        <v>2.4</v>
      </c>
      <c r="D47" s="35" t="s">
        <v>46</v>
      </c>
      <c r="E47" s="48" t="s">
        <v>57</v>
      </c>
    </row>
    <row r="48" spans="1:6" x14ac:dyDescent="0.25">
      <c r="A48" s="49" t="s">
        <v>73</v>
      </c>
      <c r="B48" s="40">
        <v>0.2</v>
      </c>
      <c r="C48" s="38">
        <v>6.22</v>
      </c>
      <c r="D48" s="39" t="s">
        <v>46</v>
      </c>
      <c r="E48" s="49" t="s">
        <v>66</v>
      </c>
    </row>
    <row r="49" spans="1:5" x14ac:dyDescent="0.25">
      <c r="A49" s="48" t="s">
        <v>74</v>
      </c>
      <c r="B49" s="36">
        <v>0.2</v>
      </c>
      <c r="C49" s="34">
        <v>3.02</v>
      </c>
      <c r="D49" s="35" t="s">
        <v>46</v>
      </c>
      <c r="E49" s="48" t="s">
        <v>51</v>
      </c>
    </row>
    <row r="50" spans="1:5" x14ac:dyDescent="0.25">
      <c r="A50" s="49" t="s">
        <v>75</v>
      </c>
      <c r="B50" s="40">
        <v>0.1</v>
      </c>
      <c r="C50" s="38">
        <v>3.55</v>
      </c>
      <c r="D50" s="39" t="s">
        <v>46</v>
      </c>
      <c r="E50" s="49" t="s">
        <v>57</v>
      </c>
    </row>
    <row r="51" spans="1:5" x14ac:dyDescent="0.25">
      <c r="A51" s="48" t="s">
        <v>353</v>
      </c>
      <c r="B51" s="36">
        <v>0.1</v>
      </c>
      <c r="C51" s="34">
        <v>2.37</v>
      </c>
      <c r="D51" s="35" t="s">
        <v>54</v>
      </c>
      <c r="E51" s="48" t="s">
        <v>57</v>
      </c>
    </row>
    <row r="52" spans="1:5" x14ac:dyDescent="0.25">
      <c r="A52" s="49" t="s">
        <v>79</v>
      </c>
      <c r="B52" s="40">
        <v>0.1</v>
      </c>
      <c r="C52" s="38">
        <v>11.28</v>
      </c>
      <c r="D52" s="39" t="s">
        <v>80</v>
      </c>
      <c r="E52" s="49" t="s">
        <v>57</v>
      </c>
    </row>
    <row r="53" spans="1:5" x14ac:dyDescent="0.25">
      <c r="A53" s="48" t="s">
        <v>84</v>
      </c>
      <c r="B53" s="36">
        <v>0.1</v>
      </c>
      <c r="C53" s="34">
        <v>4.22</v>
      </c>
      <c r="D53" s="35" t="s">
        <v>80</v>
      </c>
      <c r="E53" s="48" t="s">
        <v>66</v>
      </c>
    </row>
    <row r="54" spans="1:5" x14ac:dyDescent="0.25">
      <c r="A54" s="49" t="s">
        <v>354</v>
      </c>
      <c r="B54" s="40">
        <v>0.1</v>
      </c>
      <c r="C54" s="38">
        <v>15.01</v>
      </c>
      <c r="D54" s="39" t="s">
        <v>46</v>
      </c>
      <c r="E54" s="49" t="s">
        <v>66</v>
      </c>
    </row>
    <row r="55" spans="1:5" x14ac:dyDescent="0.25">
      <c r="A55" s="48" t="s">
        <v>86</v>
      </c>
      <c r="B55" s="36">
        <v>0.1</v>
      </c>
      <c r="C55" s="34">
        <v>5.93</v>
      </c>
      <c r="D55" s="35" t="s">
        <v>80</v>
      </c>
      <c r="E55" s="48" t="s">
        <v>57</v>
      </c>
    </row>
    <row r="56" spans="1:5" x14ac:dyDescent="0.25">
      <c r="A56" s="49" t="s">
        <v>87</v>
      </c>
      <c r="B56" s="40">
        <v>0.1</v>
      </c>
      <c r="C56" s="38">
        <v>3.92</v>
      </c>
      <c r="D56" s="39" t="s">
        <v>80</v>
      </c>
      <c r="E56" s="49" t="s">
        <v>57</v>
      </c>
    </row>
    <row r="57" spans="1:5" x14ac:dyDescent="0.25">
      <c r="A57" s="48" t="s">
        <v>355</v>
      </c>
      <c r="B57" s="36">
        <v>0.1</v>
      </c>
      <c r="C57" s="34">
        <v>6.68</v>
      </c>
      <c r="D57" s="35" t="s">
        <v>80</v>
      </c>
      <c r="E57" s="48" t="s">
        <v>66</v>
      </c>
    </row>
    <row r="58" spans="1:5" x14ac:dyDescent="0.25">
      <c r="A58" s="49" t="s">
        <v>92</v>
      </c>
      <c r="B58" s="40">
        <v>0.1</v>
      </c>
      <c r="C58" s="38">
        <v>4.07</v>
      </c>
      <c r="D58" s="39" t="s">
        <v>80</v>
      </c>
      <c r="E58" s="49" t="s">
        <v>51</v>
      </c>
    </row>
    <row r="59" spans="1:5" x14ac:dyDescent="0.25">
      <c r="A59" s="48" t="s">
        <v>356</v>
      </c>
      <c r="B59" s="36">
        <v>0.1</v>
      </c>
      <c r="C59" s="34">
        <v>3.47</v>
      </c>
      <c r="D59" s="35" t="s">
        <v>80</v>
      </c>
      <c r="E59" s="48" t="s">
        <v>66</v>
      </c>
    </row>
    <row r="60" spans="1:5" x14ac:dyDescent="0.25">
      <c r="A60" s="49" t="s">
        <v>357</v>
      </c>
      <c r="B60" s="40">
        <v>0.1</v>
      </c>
      <c r="C60" s="38">
        <v>3.79</v>
      </c>
      <c r="D60" s="39" t="s">
        <v>54</v>
      </c>
      <c r="E60" s="49" t="s">
        <v>66</v>
      </c>
    </row>
    <row r="61" spans="1:5" x14ac:dyDescent="0.25">
      <c r="A61" s="48" t="s">
        <v>358</v>
      </c>
      <c r="B61" s="36">
        <v>0.1</v>
      </c>
      <c r="C61" s="34">
        <v>4.24</v>
      </c>
      <c r="D61" s="35" t="s">
        <v>46</v>
      </c>
      <c r="E61" s="48" t="s">
        <v>51</v>
      </c>
    </row>
    <row r="62" spans="1:5" x14ac:dyDescent="0.25">
      <c r="A62" s="49" t="s">
        <v>359</v>
      </c>
      <c r="B62" s="40">
        <v>0.1</v>
      </c>
      <c r="C62" s="38">
        <v>2.59</v>
      </c>
      <c r="D62" s="39" t="s">
        <v>80</v>
      </c>
      <c r="E62" s="49" t="s">
        <v>57</v>
      </c>
    </row>
    <row r="63" spans="1:5" x14ac:dyDescent="0.25">
      <c r="A63" s="48" t="s">
        <v>99</v>
      </c>
      <c r="B63" s="36">
        <v>0.1</v>
      </c>
      <c r="C63" s="34">
        <v>3.92</v>
      </c>
      <c r="D63" s="35" t="s">
        <v>80</v>
      </c>
      <c r="E63" s="48" t="s">
        <v>66</v>
      </c>
    </row>
    <row r="64" spans="1:5" x14ac:dyDescent="0.25">
      <c r="A64" s="49" t="s">
        <v>100</v>
      </c>
      <c r="B64" s="40">
        <v>0.1</v>
      </c>
      <c r="C64" s="38">
        <v>3.09</v>
      </c>
      <c r="D64" s="39" t="s">
        <v>80</v>
      </c>
      <c r="E64" s="49" t="s">
        <v>51</v>
      </c>
    </row>
    <row r="65" spans="1:6" x14ac:dyDescent="0.25">
      <c r="A65" s="48" t="s">
        <v>103</v>
      </c>
      <c r="B65" s="36">
        <v>0.1</v>
      </c>
      <c r="C65" s="34">
        <v>1.02</v>
      </c>
      <c r="D65" s="35" t="s">
        <v>80</v>
      </c>
      <c r="E65" s="48" t="s">
        <v>66</v>
      </c>
    </row>
    <row r="66" spans="1:6" x14ac:dyDescent="0.25">
      <c r="A66" s="49" t="s">
        <v>106</v>
      </c>
      <c r="B66" s="40">
        <v>0.1</v>
      </c>
      <c r="C66" s="38">
        <v>-0.3</v>
      </c>
      <c r="D66" s="39" t="s">
        <v>80</v>
      </c>
      <c r="E66" s="49" t="s">
        <v>66</v>
      </c>
    </row>
    <row r="67" spans="1:6" x14ac:dyDescent="0.25">
      <c r="A67" s="48" t="s">
        <v>360</v>
      </c>
      <c r="B67" s="36">
        <v>0.1</v>
      </c>
      <c r="C67" s="34">
        <v>2.2999999999999998</v>
      </c>
      <c r="D67" s="35" t="s">
        <v>80</v>
      </c>
      <c r="E67" s="48" t="s">
        <v>66</v>
      </c>
    </row>
    <row r="68" spans="1:6" x14ac:dyDescent="0.25">
      <c r="A68" s="49" t="s">
        <v>108</v>
      </c>
      <c r="B68" s="40">
        <v>0</v>
      </c>
      <c r="C68" s="38">
        <v>3.85</v>
      </c>
      <c r="D68" s="39" t="s">
        <v>80</v>
      </c>
      <c r="E68" s="49" t="s">
        <v>57</v>
      </c>
    </row>
    <row r="69" spans="1:6" x14ac:dyDescent="0.25">
      <c r="A69" s="48" t="s">
        <v>109</v>
      </c>
      <c r="B69" s="36">
        <v>0</v>
      </c>
      <c r="C69" s="34">
        <v>0.87</v>
      </c>
      <c r="D69" s="35" t="s">
        <v>80</v>
      </c>
      <c r="E69" s="48" t="s">
        <v>57</v>
      </c>
    </row>
    <row r="70" spans="1:6" x14ac:dyDescent="0.25">
      <c r="A70" s="49" t="s">
        <v>110</v>
      </c>
      <c r="B70" s="40">
        <v>0</v>
      </c>
      <c r="C70" s="38">
        <v>7.28</v>
      </c>
      <c r="D70" s="39" t="s">
        <v>80</v>
      </c>
      <c r="E70" s="49" t="s">
        <v>57</v>
      </c>
    </row>
    <row r="72" spans="1:6" x14ac:dyDescent="0.25">
      <c r="A72" s="104" t="s">
        <v>345</v>
      </c>
      <c r="B72" s="104"/>
      <c r="C72" s="104"/>
      <c r="D72" s="104"/>
      <c r="E72" s="104"/>
      <c r="F72" s="104"/>
    </row>
    <row r="73" spans="1:6" x14ac:dyDescent="0.25">
      <c r="A73" s="105" t="s">
        <v>361</v>
      </c>
      <c r="B73" s="105"/>
      <c r="C73" s="105"/>
      <c r="D73" s="105"/>
      <c r="E73" s="105"/>
      <c r="F73" s="105"/>
    </row>
    <row r="75" spans="1:6" ht="21.75" customHeight="1" x14ac:dyDescent="0.25">
      <c r="A75" s="107" t="s">
        <v>362</v>
      </c>
      <c r="B75" s="107"/>
      <c r="C75" s="107"/>
      <c r="D75" s="107"/>
      <c r="E75" s="107"/>
      <c r="F75" s="107"/>
    </row>
    <row r="76" spans="1:6" x14ac:dyDescent="0.25">
      <c r="A76" s="101" t="s">
        <v>363</v>
      </c>
      <c r="B76" s="101"/>
      <c r="C76" s="101"/>
      <c r="D76" s="101"/>
      <c r="E76" s="101"/>
      <c r="F76" s="101"/>
    </row>
    <row r="77" spans="1:6" x14ac:dyDescent="0.25">
      <c r="A77" s="102" t="s">
        <v>364</v>
      </c>
      <c r="B77" s="102"/>
      <c r="C77" s="102"/>
      <c r="D77" s="102"/>
      <c r="E77" s="102"/>
      <c r="F77" s="102"/>
    </row>
    <row r="78" spans="1:6" x14ac:dyDescent="0.25">
      <c r="A78" s="102" t="s">
        <v>365</v>
      </c>
      <c r="B78" s="102"/>
      <c r="C78" s="102"/>
      <c r="D78" s="102"/>
      <c r="E78" s="102"/>
      <c r="F78" s="102"/>
    </row>
    <row r="79" spans="1:6" x14ac:dyDescent="0.25">
      <c r="A79" s="102" t="s">
        <v>366</v>
      </c>
      <c r="B79" s="102"/>
      <c r="C79" s="102"/>
      <c r="D79" s="102"/>
      <c r="E79" s="102"/>
      <c r="F79" s="102"/>
    </row>
    <row r="80" spans="1:6" x14ac:dyDescent="0.25">
      <c r="A80" s="103" t="s">
        <v>367</v>
      </c>
      <c r="B80" s="103"/>
      <c r="C80" s="103"/>
      <c r="D80" s="103"/>
      <c r="E80" s="103"/>
      <c r="F80" s="103"/>
    </row>
    <row r="81" spans="1:6" x14ac:dyDescent="0.25">
      <c r="A81" s="108" t="s">
        <v>368</v>
      </c>
      <c r="B81" s="108"/>
      <c r="C81" s="108"/>
      <c r="D81" s="108"/>
      <c r="E81" s="108"/>
      <c r="F81" s="108"/>
    </row>
    <row r="82" spans="1:6" x14ac:dyDescent="0.25">
      <c r="A82" s="32" t="s">
        <v>317</v>
      </c>
      <c r="B82" s="32" t="s">
        <v>318</v>
      </c>
      <c r="C82" s="32" t="s">
        <v>369</v>
      </c>
      <c r="D82" s="32" t="s">
        <v>319</v>
      </c>
    </row>
    <row r="83" spans="1:6" x14ac:dyDescent="0.25">
      <c r="A83" s="33" t="s">
        <v>54</v>
      </c>
      <c r="B83" s="34">
        <v>4.67</v>
      </c>
      <c r="C83" s="42">
        <v>20.6</v>
      </c>
      <c r="D83" s="35">
        <v>4</v>
      </c>
    </row>
    <row r="84" spans="1:6" x14ac:dyDescent="0.25">
      <c r="A84" s="37" t="s">
        <v>46</v>
      </c>
      <c r="B84" s="38">
        <v>4.33</v>
      </c>
      <c r="C84" s="44">
        <v>31.8</v>
      </c>
      <c r="D84" s="39">
        <v>11</v>
      </c>
    </row>
    <row r="85" spans="1:6" x14ac:dyDescent="0.25">
      <c r="A85" s="33" t="s">
        <v>80</v>
      </c>
      <c r="B85" s="34">
        <v>3.02</v>
      </c>
      <c r="C85" s="42">
        <v>42.3</v>
      </c>
      <c r="D85" s="35">
        <v>63</v>
      </c>
    </row>
    <row r="86" spans="1:6" x14ac:dyDescent="0.25">
      <c r="A86" s="37" t="s">
        <v>127</v>
      </c>
      <c r="B86" s="38">
        <v>3.83</v>
      </c>
      <c r="C86" s="44">
        <v>37</v>
      </c>
      <c r="D86" s="39">
        <v>18</v>
      </c>
    </row>
    <row r="87" spans="1:6" x14ac:dyDescent="0.25">
      <c r="A87" s="33" t="s">
        <v>194</v>
      </c>
      <c r="B87" s="34">
        <v>3.98</v>
      </c>
      <c r="C87" s="42">
        <v>45</v>
      </c>
      <c r="D87" s="35">
        <v>3</v>
      </c>
    </row>
    <row r="89" spans="1:6" x14ac:dyDescent="0.25">
      <c r="A89" s="104" t="s">
        <v>370</v>
      </c>
      <c r="B89" s="104"/>
      <c r="C89" s="104"/>
      <c r="D89" s="104"/>
      <c r="E89" s="104"/>
      <c r="F89" s="104"/>
    </row>
    <row r="90" spans="1:6" x14ac:dyDescent="0.25">
      <c r="A90" s="105" t="s">
        <v>371</v>
      </c>
      <c r="B90" s="105"/>
      <c r="C90" s="105"/>
      <c r="D90" s="105"/>
      <c r="E90" s="105"/>
      <c r="F90" s="105"/>
    </row>
    <row r="92" spans="1:6" x14ac:dyDescent="0.25">
      <c r="A92" s="97" t="s">
        <v>372</v>
      </c>
      <c r="B92" s="97"/>
      <c r="C92" s="97"/>
      <c r="D92" s="97"/>
      <c r="E92" s="97"/>
      <c r="F92" s="97"/>
    </row>
  </sheetData>
  <mergeCells count="35">
    <mergeCell ref="A80:F80"/>
    <mergeCell ref="A81:F81"/>
    <mergeCell ref="A89:F89"/>
    <mergeCell ref="A90:F90"/>
    <mergeCell ref="A92:F92"/>
    <mergeCell ref="A75:F75"/>
    <mergeCell ref="A76:F76"/>
    <mergeCell ref="A77:F77"/>
    <mergeCell ref="A78:F78"/>
    <mergeCell ref="A79:F79"/>
    <mergeCell ref="A37:F37"/>
    <mergeCell ref="A38:F38"/>
    <mergeCell ref="A39:F39"/>
    <mergeCell ref="A72:F72"/>
    <mergeCell ref="A73:F73"/>
    <mergeCell ref="A31:F31"/>
    <mergeCell ref="A32:F32"/>
    <mergeCell ref="A34:F34"/>
    <mergeCell ref="A35:F35"/>
    <mergeCell ref="A36:F36"/>
    <mergeCell ref="A20:F20"/>
    <mergeCell ref="A21:F21"/>
    <mergeCell ref="A22:F22"/>
    <mergeCell ref="A23:F23"/>
    <mergeCell ref="A24:F24"/>
    <mergeCell ref="A7:F7"/>
    <mergeCell ref="A8:F8"/>
    <mergeCell ref="A16:F16"/>
    <mergeCell ref="A17:F17"/>
    <mergeCell ref="A19:F19"/>
    <mergeCell ref="A1:J1"/>
    <mergeCell ref="A2:J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showGridLines="0" tabSelected="1" topLeftCell="A13" zoomScaleNormal="100" workbookViewId="0">
      <selection activeCell="C20" sqref="C20"/>
    </sheetView>
  </sheetViews>
  <sheetFormatPr defaultColWidth="8.7109375" defaultRowHeight="15" x14ac:dyDescent="0.25"/>
  <cols>
    <col min="1" max="1" width="5" customWidth="1"/>
    <col min="2" max="2" width="38" customWidth="1"/>
    <col min="3" max="3" width="80.5703125" bestFit="1" customWidth="1"/>
    <col min="4" max="4" width="18.85546875" bestFit="1" customWidth="1"/>
    <col min="5" max="5" width="40" customWidth="1"/>
  </cols>
  <sheetData>
    <row r="1" spans="1:5" ht="31.5" customHeight="1" x14ac:dyDescent="0.25">
      <c r="A1" s="84" t="s">
        <v>373</v>
      </c>
      <c r="B1" s="84"/>
      <c r="C1" s="84"/>
      <c r="D1" s="84"/>
      <c r="E1" s="84"/>
    </row>
    <row r="2" spans="1:5" ht="21.75" customHeight="1" x14ac:dyDescent="0.25">
      <c r="A2" s="85" t="s">
        <v>374</v>
      </c>
      <c r="B2" s="85"/>
      <c r="C2" s="85"/>
      <c r="D2" s="85"/>
      <c r="E2" s="85"/>
    </row>
    <row r="3" spans="1:5" ht="6" customHeight="1" x14ac:dyDescent="0.25"/>
    <row r="4" spans="1:5" ht="7.5" customHeight="1" x14ac:dyDescent="0.25"/>
    <row r="5" spans="1:5" ht="21.75" customHeight="1" x14ac:dyDescent="0.25">
      <c r="A5" s="86" t="s">
        <v>375</v>
      </c>
      <c r="B5" s="86"/>
      <c r="C5" s="86"/>
      <c r="D5" s="86"/>
      <c r="E5" s="86"/>
    </row>
    <row r="6" spans="1:5" ht="18" customHeight="1" x14ac:dyDescent="0.25">
      <c r="A6" s="50" t="s">
        <v>376</v>
      </c>
      <c r="B6" s="50" t="s">
        <v>377</v>
      </c>
      <c r="C6" s="50" t="s">
        <v>378</v>
      </c>
      <c r="D6" s="50" t="s">
        <v>379</v>
      </c>
      <c r="E6" s="50" t="s">
        <v>380</v>
      </c>
    </row>
    <row r="7" spans="1:5" ht="42" customHeight="1" x14ac:dyDescent="0.25">
      <c r="A7" s="29" t="s">
        <v>47</v>
      </c>
      <c r="B7" s="51" t="s">
        <v>381</v>
      </c>
      <c r="C7" s="52" t="s">
        <v>488</v>
      </c>
      <c r="D7" s="68">
        <v>62555242.5</v>
      </c>
      <c r="E7" s="54" t="s">
        <v>383</v>
      </c>
    </row>
    <row r="8" spans="1:5" ht="42" customHeight="1" x14ac:dyDescent="0.25">
      <c r="A8" s="29" t="s">
        <v>55</v>
      </c>
      <c r="B8" s="55" t="s">
        <v>384</v>
      </c>
      <c r="C8" s="52" t="s">
        <v>492</v>
      </c>
      <c r="D8" s="69">
        <v>21866853</v>
      </c>
      <c r="E8" s="57" t="s">
        <v>385</v>
      </c>
    </row>
    <row r="9" spans="1:5" ht="42" customHeight="1" x14ac:dyDescent="0.25">
      <c r="A9" s="29" t="s">
        <v>64</v>
      </c>
      <c r="B9" s="51" t="s">
        <v>386</v>
      </c>
      <c r="C9" s="65" t="s">
        <v>493</v>
      </c>
      <c r="D9" s="66" t="s">
        <v>494</v>
      </c>
      <c r="E9" s="54" t="s">
        <v>387</v>
      </c>
    </row>
    <row r="10" spans="1:5" ht="42" customHeight="1" x14ac:dyDescent="0.25">
      <c r="A10" s="29" t="s">
        <v>388</v>
      </c>
      <c r="B10" s="55" t="s">
        <v>389</v>
      </c>
      <c r="C10" s="65" t="s">
        <v>495</v>
      </c>
      <c r="D10" s="67" t="s">
        <v>496</v>
      </c>
      <c r="E10" s="57" t="s">
        <v>390</v>
      </c>
    </row>
    <row r="11" spans="1:5" ht="42" customHeight="1" x14ac:dyDescent="0.25">
      <c r="A11" s="29" t="s">
        <v>391</v>
      </c>
      <c r="B11" s="51" t="s">
        <v>392</v>
      </c>
      <c r="C11" s="52" t="s">
        <v>497</v>
      </c>
      <c r="D11" s="70">
        <f>Base_IFdata!M113</f>
        <v>12828046.000000004</v>
      </c>
      <c r="E11" s="54" t="s">
        <v>393</v>
      </c>
    </row>
    <row r="12" spans="1:5" ht="42" customHeight="1" x14ac:dyDescent="0.25">
      <c r="A12" s="29" t="s">
        <v>394</v>
      </c>
      <c r="B12" s="55" t="s">
        <v>395</v>
      </c>
      <c r="C12" s="52" t="s">
        <v>498</v>
      </c>
      <c r="D12" s="14">
        <f>Base_IFdata!O114</f>
        <v>2046</v>
      </c>
      <c r="E12" s="57" t="s">
        <v>396</v>
      </c>
    </row>
    <row r="13" spans="1:5" ht="7.5" customHeight="1" x14ac:dyDescent="0.25"/>
    <row r="14" spans="1:5" ht="21.75" customHeight="1" x14ac:dyDescent="0.25">
      <c r="A14" s="86" t="s">
        <v>397</v>
      </c>
      <c r="B14" s="86"/>
      <c r="C14" s="86"/>
      <c r="D14" s="86"/>
      <c r="E14" s="86"/>
    </row>
    <row r="15" spans="1:5" ht="18" customHeight="1" x14ac:dyDescent="0.25">
      <c r="A15" s="50" t="s">
        <v>376</v>
      </c>
      <c r="B15" s="50" t="s">
        <v>377</v>
      </c>
      <c r="C15" s="50" t="s">
        <v>378</v>
      </c>
      <c r="D15" s="50" t="s">
        <v>379</v>
      </c>
      <c r="E15" s="50" t="s">
        <v>380</v>
      </c>
    </row>
    <row r="16" spans="1:5" ht="42" customHeight="1" x14ac:dyDescent="0.25">
      <c r="A16" s="29" t="s">
        <v>398</v>
      </c>
      <c r="B16" s="51" t="s">
        <v>399</v>
      </c>
      <c r="C16" s="52" t="s">
        <v>499</v>
      </c>
      <c r="D16" s="53">
        <v>10</v>
      </c>
      <c r="E16" s="54" t="s">
        <v>400</v>
      </c>
    </row>
    <row r="17" spans="1:5" ht="42" customHeight="1" x14ac:dyDescent="0.25">
      <c r="A17" s="29" t="s">
        <v>401</v>
      </c>
      <c r="B17" s="55" t="s">
        <v>402</v>
      </c>
      <c r="C17" s="52" t="s">
        <v>491</v>
      </c>
      <c r="D17" s="56">
        <v>4</v>
      </c>
      <c r="E17" s="57" t="s">
        <v>403</v>
      </c>
    </row>
    <row r="18" spans="1:5" ht="42" customHeight="1" x14ac:dyDescent="0.25">
      <c r="A18" s="29" t="s">
        <v>404</v>
      </c>
      <c r="B18" s="51" t="s">
        <v>405</v>
      </c>
      <c r="C18" s="52" t="s">
        <v>504</v>
      </c>
      <c r="D18" s="71">
        <f>Base_IFdata!H119</f>
        <v>1391478284</v>
      </c>
      <c r="E18" s="54" t="s">
        <v>406</v>
      </c>
    </row>
    <row r="19" spans="1:5" ht="42" customHeight="1" x14ac:dyDescent="0.25">
      <c r="A19" s="29" t="s">
        <v>407</v>
      </c>
      <c r="B19" s="55" t="s">
        <v>408</v>
      </c>
      <c r="C19" s="52" t="s">
        <v>505</v>
      </c>
      <c r="D19" s="73">
        <f>Base_IFdata!I120</f>
        <v>21919416.239130434</v>
      </c>
      <c r="E19" s="57" t="s">
        <v>409</v>
      </c>
    </row>
    <row r="20" spans="1:5" ht="42" customHeight="1" x14ac:dyDescent="0.25">
      <c r="A20" s="29" t="s">
        <v>410</v>
      </c>
      <c r="B20" s="51" t="s">
        <v>411</v>
      </c>
      <c r="C20" s="52" t="s">
        <v>506</v>
      </c>
      <c r="D20" s="53">
        <f>Base_IFdata!N121</f>
        <v>51</v>
      </c>
      <c r="E20" s="54" t="s">
        <v>412</v>
      </c>
    </row>
    <row r="21" spans="1:5" ht="42" customHeight="1" x14ac:dyDescent="0.25">
      <c r="A21" s="29" t="s">
        <v>413</v>
      </c>
      <c r="B21" s="55" t="s">
        <v>414</v>
      </c>
      <c r="C21" s="52" t="s">
        <v>507</v>
      </c>
      <c r="D21" s="72">
        <f>Base_IFdata!N122</f>
        <v>9215214</v>
      </c>
      <c r="E21" s="57" t="s">
        <v>415</v>
      </c>
    </row>
    <row r="22" spans="1:5" ht="7.5" customHeight="1" x14ac:dyDescent="0.25"/>
    <row r="23" spans="1:5" ht="21.75" customHeight="1" x14ac:dyDescent="0.25">
      <c r="A23" s="86" t="s">
        <v>416</v>
      </c>
      <c r="B23" s="86"/>
      <c r="C23" s="86"/>
      <c r="D23" s="86"/>
      <c r="E23" s="86"/>
    </row>
    <row r="24" spans="1:5" ht="18" customHeight="1" x14ac:dyDescent="0.25">
      <c r="A24" s="50" t="s">
        <v>376</v>
      </c>
      <c r="B24" s="50" t="s">
        <v>377</v>
      </c>
      <c r="C24" s="50" t="s">
        <v>378</v>
      </c>
      <c r="D24" s="50" t="s">
        <v>379</v>
      </c>
      <c r="E24" s="50" t="s">
        <v>380</v>
      </c>
    </row>
    <row r="25" spans="1:5" ht="42" customHeight="1" x14ac:dyDescent="0.25">
      <c r="A25" s="29" t="s">
        <v>417</v>
      </c>
      <c r="B25" s="74" t="s">
        <v>418</v>
      </c>
      <c r="C25" s="52" t="s">
        <v>510</v>
      </c>
      <c r="D25" s="53"/>
      <c r="E25" s="54" t="s">
        <v>419</v>
      </c>
    </row>
    <row r="26" spans="1:5" ht="42" customHeight="1" x14ac:dyDescent="0.25">
      <c r="A26" s="29" t="s">
        <v>420</v>
      </c>
      <c r="B26" s="55" t="s">
        <v>421</v>
      </c>
      <c r="C26" s="52" t="s">
        <v>511</v>
      </c>
      <c r="D26" s="56"/>
      <c r="E26" s="57" t="s">
        <v>422</v>
      </c>
    </row>
    <row r="27" spans="1:5" ht="42" customHeight="1" x14ac:dyDescent="0.25">
      <c r="A27" s="29" t="s">
        <v>423</v>
      </c>
      <c r="B27" s="51" t="s">
        <v>424</v>
      </c>
      <c r="C27" s="75" t="s">
        <v>509</v>
      </c>
      <c r="D27" s="76">
        <v>219449385</v>
      </c>
      <c r="E27" s="54" t="s">
        <v>425</v>
      </c>
    </row>
  </sheetData>
  <mergeCells count="5">
    <mergeCell ref="A1:E1"/>
    <mergeCell ref="A2:E2"/>
    <mergeCell ref="A5:E5"/>
    <mergeCell ref="A14:E14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showGridLines="0" zoomScaleNormal="100" workbookViewId="0">
      <selection activeCell="H7" sqref="H7"/>
    </sheetView>
  </sheetViews>
  <sheetFormatPr defaultColWidth="8.7109375" defaultRowHeight="15" x14ac:dyDescent="0.25"/>
  <cols>
    <col min="1" max="1" width="5" customWidth="1"/>
    <col min="2" max="2" width="40" customWidth="1"/>
    <col min="3" max="3" width="34" customWidth="1"/>
    <col min="4" max="4" width="14" customWidth="1"/>
    <col min="5" max="5" width="40" customWidth="1"/>
  </cols>
  <sheetData>
    <row r="1" spans="1:5" ht="31.5" customHeight="1" x14ac:dyDescent="0.25">
      <c r="A1" s="84" t="s">
        <v>426</v>
      </c>
      <c r="B1" s="84"/>
      <c r="C1" s="84"/>
      <c r="D1" s="84"/>
      <c r="E1" s="84"/>
    </row>
    <row r="2" spans="1:5" ht="21.75" customHeight="1" x14ac:dyDescent="0.25">
      <c r="A2" s="109" t="s">
        <v>427</v>
      </c>
      <c r="B2" s="109"/>
      <c r="C2" s="109"/>
      <c r="D2" s="109"/>
      <c r="E2" s="109"/>
    </row>
    <row r="3" spans="1:5" ht="6" customHeight="1" x14ac:dyDescent="0.25"/>
    <row r="4" spans="1:5" ht="7.5" customHeight="1" x14ac:dyDescent="0.25"/>
    <row r="5" spans="1:5" ht="21.75" customHeight="1" x14ac:dyDescent="0.25">
      <c r="A5" s="86" t="s">
        <v>428</v>
      </c>
      <c r="B5" s="86"/>
      <c r="C5" s="86"/>
      <c r="D5" s="86"/>
      <c r="E5" s="86"/>
    </row>
    <row r="6" spans="1:5" ht="18" customHeight="1" x14ac:dyDescent="0.25">
      <c r="A6" s="58" t="s">
        <v>376</v>
      </c>
      <c r="B6" s="58" t="s">
        <v>377</v>
      </c>
      <c r="C6" s="58" t="s">
        <v>429</v>
      </c>
      <c r="D6" s="58" t="s">
        <v>379</v>
      </c>
      <c r="E6" s="58" t="s">
        <v>430</v>
      </c>
    </row>
    <row r="7" spans="1:5" ht="51.75" customHeight="1" x14ac:dyDescent="0.25">
      <c r="A7" s="2" t="s">
        <v>47</v>
      </c>
      <c r="B7" s="74" t="s">
        <v>431</v>
      </c>
      <c r="C7" s="78" t="s">
        <v>382</v>
      </c>
      <c r="D7" s="53"/>
      <c r="E7" s="54" t="s">
        <v>432</v>
      </c>
    </row>
    <row r="8" spans="1:5" ht="51.75" customHeight="1" x14ac:dyDescent="0.25">
      <c r="A8" s="2" t="s">
        <v>55</v>
      </c>
      <c r="B8" s="77" t="s">
        <v>433</v>
      </c>
      <c r="C8" s="52" t="s">
        <v>382</v>
      </c>
      <c r="D8" s="56"/>
      <c r="E8" s="57" t="s">
        <v>434</v>
      </c>
    </row>
    <row r="9" spans="1:5" ht="51.75" customHeight="1" x14ac:dyDescent="0.25">
      <c r="A9" s="2" t="s">
        <v>64</v>
      </c>
      <c r="B9" s="51" t="s">
        <v>435</v>
      </c>
      <c r="C9" s="52" t="s">
        <v>382</v>
      </c>
      <c r="D9" s="53"/>
      <c r="E9" s="54" t="s">
        <v>436</v>
      </c>
    </row>
    <row r="10" spans="1:5" ht="7.5" customHeight="1" x14ac:dyDescent="0.25"/>
    <row r="11" spans="1:5" ht="21.75" customHeight="1" x14ac:dyDescent="0.25">
      <c r="A11" s="86" t="s">
        <v>437</v>
      </c>
      <c r="B11" s="86"/>
      <c r="C11" s="86"/>
      <c r="D11" s="86"/>
      <c r="E11" s="86"/>
    </row>
    <row r="12" spans="1:5" ht="18" customHeight="1" x14ac:dyDescent="0.25">
      <c r="A12" s="58" t="s">
        <v>376</v>
      </c>
      <c r="B12" s="58" t="s">
        <v>377</v>
      </c>
      <c r="C12" s="58" t="s">
        <v>429</v>
      </c>
      <c r="D12" s="58" t="s">
        <v>379</v>
      </c>
      <c r="E12" s="58" t="s">
        <v>430</v>
      </c>
    </row>
    <row r="13" spans="1:5" ht="51.75" customHeight="1" x14ac:dyDescent="0.25">
      <c r="A13" s="2" t="s">
        <v>388</v>
      </c>
      <c r="B13" s="55" t="s">
        <v>438</v>
      </c>
      <c r="C13" s="52" t="s">
        <v>382</v>
      </c>
      <c r="D13" s="56"/>
      <c r="E13" s="57" t="s">
        <v>439</v>
      </c>
    </row>
    <row r="14" spans="1:5" ht="51.75" customHeight="1" x14ac:dyDescent="0.25">
      <c r="A14" s="2" t="s">
        <v>391</v>
      </c>
      <c r="B14" s="51" t="s">
        <v>440</v>
      </c>
      <c r="C14" s="52" t="s">
        <v>382</v>
      </c>
      <c r="D14" s="53"/>
      <c r="E14" s="54" t="s">
        <v>441</v>
      </c>
    </row>
    <row r="15" spans="1:5" ht="51.75" customHeight="1" x14ac:dyDescent="0.25">
      <c r="A15" s="2" t="s">
        <v>394</v>
      </c>
      <c r="B15" s="55" t="s">
        <v>442</v>
      </c>
      <c r="C15" s="52" t="s">
        <v>382</v>
      </c>
      <c r="D15" s="56"/>
      <c r="E15" s="57" t="s">
        <v>443</v>
      </c>
    </row>
    <row r="16" spans="1:5" ht="7.5" customHeight="1" x14ac:dyDescent="0.25"/>
    <row r="17" spans="1:5" ht="21.75" customHeight="1" x14ac:dyDescent="0.25">
      <c r="A17" s="86" t="s">
        <v>444</v>
      </c>
      <c r="B17" s="86"/>
      <c r="C17" s="86"/>
      <c r="D17" s="86"/>
      <c r="E17" s="86"/>
    </row>
    <row r="18" spans="1:5" ht="18" customHeight="1" x14ac:dyDescent="0.25">
      <c r="A18" s="58" t="s">
        <v>376</v>
      </c>
      <c r="B18" s="58" t="s">
        <v>377</v>
      </c>
      <c r="C18" s="58" t="s">
        <v>429</v>
      </c>
      <c r="D18" s="58" t="s">
        <v>379</v>
      </c>
      <c r="E18" s="58" t="s">
        <v>430</v>
      </c>
    </row>
    <row r="19" spans="1:5" ht="51.75" customHeight="1" x14ac:dyDescent="0.25">
      <c r="A19" s="2" t="s">
        <v>398</v>
      </c>
      <c r="B19" s="51" t="s">
        <v>445</v>
      </c>
      <c r="C19" s="52" t="s">
        <v>382</v>
      </c>
      <c r="D19" s="53"/>
      <c r="E19" s="54" t="s">
        <v>446</v>
      </c>
    </row>
    <row r="20" spans="1:5" ht="51.75" customHeight="1" x14ac:dyDescent="0.25">
      <c r="A20" s="2" t="s">
        <v>401</v>
      </c>
      <c r="B20" s="55" t="s">
        <v>447</v>
      </c>
      <c r="C20" s="52" t="s">
        <v>382</v>
      </c>
      <c r="D20" s="56"/>
      <c r="E20" s="57" t="s">
        <v>448</v>
      </c>
    </row>
    <row r="21" spans="1:5" ht="51.75" customHeight="1" x14ac:dyDescent="0.25">
      <c r="A21" s="2" t="s">
        <v>404</v>
      </c>
      <c r="B21" s="51" t="s">
        <v>449</v>
      </c>
      <c r="C21" s="52" t="s">
        <v>382</v>
      </c>
      <c r="D21" s="53"/>
      <c r="E21" s="54" t="s">
        <v>450</v>
      </c>
    </row>
    <row r="22" spans="1:5" ht="7.5" customHeight="1" x14ac:dyDescent="0.25"/>
    <row r="23" spans="1:5" ht="21.75" customHeight="1" x14ac:dyDescent="0.25">
      <c r="A23" s="86" t="s">
        <v>451</v>
      </c>
      <c r="B23" s="86"/>
      <c r="C23" s="86"/>
      <c r="D23" s="86"/>
      <c r="E23" s="86"/>
    </row>
    <row r="24" spans="1:5" ht="18" customHeight="1" x14ac:dyDescent="0.25">
      <c r="A24" s="58" t="s">
        <v>376</v>
      </c>
      <c r="B24" s="58" t="s">
        <v>377</v>
      </c>
      <c r="C24" s="58" t="s">
        <v>429</v>
      </c>
      <c r="D24" s="58" t="s">
        <v>379</v>
      </c>
      <c r="E24" s="58" t="s">
        <v>430</v>
      </c>
    </row>
    <row r="25" spans="1:5" ht="51.75" customHeight="1" x14ac:dyDescent="0.25">
      <c r="A25" s="2" t="s">
        <v>407</v>
      </c>
      <c r="B25" s="55" t="s">
        <v>452</v>
      </c>
      <c r="C25" s="52" t="s">
        <v>382</v>
      </c>
      <c r="D25" s="56"/>
      <c r="E25" s="57" t="s">
        <v>453</v>
      </c>
    </row>
  </sheetData>
  <mergeCells count="6">
    <mergeCell ref="A23:E23"/>
    <mergeCell ref="A1:E1"/>
    <mergeCell ref="A2:E2"/>
    <mergeCell ref="A5:E5"/>
    <mergeCell ref="A11:E11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"/>
  <sheetViews>
    <sheetView showGridLines="0" zoomScaleNormal="100" workbookViewId="0">
      <selection activeCell="F7" sqref="F7"/>
    </sheetView>
  </sheetViews>
  <sheetFormatPr defaultColWidth="8.7109375" defaultRowHeight="15" x14ac:dyDescent="0.25"/>
  <cols>
    <col min="1" max="1" width="34" customWidth="1"/>
    <col min="2" max="4" width="26" customWidth="1"/>
  </cols>
  <sheetData>
    <row r="1" spans="1:4" ht="31.5" customHeight="1" x14ac:dyDescent="0.25">
      <c r="A1" s="84" t="s">
        <v>454</v>
      </c>
      <c r="B1" s="84"/>
      <c r="C1" s="84"/>
      <c r="D1" s="84"/>
    </row>
    <row r="2" spans="1:4" ht="7.5" customHeight="1" x14ac:dyDescent="0.25"/>
    <row r="3" spans="1:4" ht="7.5" customHeight="1" x14ac:dyDescent="0.25"/>
    <row r="4" spans="1:4" ht="21.75" customHeight="1" x14ac:dyDescent="0.25">
      <c r="A4" s="86" t="s">
        <v>455</v>
      </c>
      <c r="B4" s="86"/>
      <c r="C4" s="86"/>
      <c r="D4" s="86"/>
    </row>
    <row r="5" spans="1:4" ht="27.75" customHeight="1" x14ac:dyDescent="0.25">
      <c r="A5" s="59" t="s">
        <v>456</v>
      </c>
      <c r="B5" s="110"/>
      <c r="C5" s="110"/>
      <c r="D5" s="110"/>
    </row>
    <row r="6" spans="1:4" ht="27.75" customHeight="1" x14ac:dyDescent="0.25">
      <c r="A6" s="59" t="s">
        <v>457</v>
      </c>
      <c r="B6" s="110"/>
      <c r="C6" s="110"/>
      <c r="D6" s="110"/>
    </row>
    <row r="7" spans="1:4" ht="27.75" customHeight="1" x14ac:dyDescent="0.25">
      <c r="A7" s="59" t="s">
        <v>458</v>
      </c>
      <c r="B7" s="93" t="s">
        <v>459</v>
      </c>
      <c r="C7" s="93"/>
      <c r="D7" s="93"/>
    </row>
    <row r="8" spans="1:4" ht="27.75" customHeight="1" x14ac:dyDescent="0.25">
      <c r="A8" s="59" t="s">
        <v>460</v>
      </c>
      <c r="B8" s="110"/>
      <c r="C8" s="110"/>
      <c r="D8" s="110"/>
    </row>
    <row r="9" spans="1:4" ht="7.5" customHeight="1" x14ac:dyDescent="0.25"/>
    <row r="10" spans="1:4" ht="21.75" customHeight="1" x14ac:dyDescent="0.25">
      <c r="A10" s="86" t="s">
        <v>461</v>
      </c>
      <c r="B10" s="86"/>
      <c r="C10" s="86"/>
      <c r="D10" s="86"/>
    </row>
    <row r="11" spans="1:4" ht="27.75" customHeight="1" x14ac:dyDescent="0.25">
      <c r="A11" s="59" t="s">
        <v>462</v>
      </c>
      <c r="B11" s="110"/>
      <c r="C11" s="110"/>
      <c r="D11" s="110"/>
    </row>
    <row r="12" spans="1:4" ht="27.75" customHeight="1" x14ac:dyDescent="0.25">
      <c r="A12" s="59" t="s">
        <v>463</v>
      </c>
      <c r="B12" s="110"/>
      <c r="C12" s="110"/>
      <c r="D12" s="110"/>
    </row>
    <row r="13" spans="1:4" ht="27.75" customHeight="1" x14ac:dyDescent="0.25">
      <c r="A13" s="59" t="s">
        <v>464</v>
      </c>
      <c r="B13" s="110"/>
      <c r="C13" s="110"/>
      <c r="D13" s="110"/>
    </row>
    <row r="14" spans="1:4" ht="27.75" customHeight="1" x14ac:dyDescent="0.25">
      <c r="A14" s="59" t="s">
        <v>465</v>
      </c>
      <c r="B14" s="110"/>
      <c r="C14" s="110"/>
      <c r="D14" s="110"/>
    </row>
    <row r="15" spans="1:4" ht="27.75" customHeight="1" x14ac:dyDescent="0.25">
      <c r="A15" s="59" t="s">
        <v>466</v>
      </c>
      <c r="B15" s="110"/>
      <c r="C15" s="110"/>
      <c r="D15" s="110"/>
    </row>
    <row r="16" spans="1:4" ht="7.5" customHeight="1" x14ac:dyDescent="0.25"/>
    <row r="17" spans="1:4" ht="21.75" customHeight="1" x14ac:dyDescent="0.25">
      <c r="A17" s="86" t="s">
        <v>467</v>
      </c>
      <c r="B17" s="86"/>
      <c r="C17" s="86"/>
      <c r="D17" s="86"/>
    </row>
    <row r="18" spans="1:4" ht="27.75" customHeight="1" x14ac:dyDescent="0.25">
      <c r="A18" s="59" t="s">
        <v>468</v>
      </c>
      <c r="B18" s="110"/>
      <c r="C18" s="110"/>
      <c r="D18" s="110"/>
    </row>
    <row r="19" spans="1:4" ht="27.75" customHeight="1" x14ac:dyDescent="0.25">
      <c r="A19" s="59" t="s">
        <v>469</v>
      </c>
      <c r="B19" s="110"/>
      <c r="C19" s="110"/>
      <c r="D19" s="110"/>
    </row>
    <row r="20" spans="1:4" ht="27.75" customHeight="1" x14ac:dyDescent="0.25">
      <c r="A20" s="59" t="s">
        <v>470</v>
      </c>
      <c r="B20" s="110"/>
      <c r="C20" s="110"/>
      <c r="D20" s="110"/>
    </row>
    <row r="21" spans="1:4" ht="7.5" customHeight="1" x14ac:dyDescent="0.25"/>
    <row r="22" spans="1:4" ht="21.75" customHeight="1" x14ac:dyDescent="0.25">
      <c r="A22" s="86" t="s">
        <v>471</v>
      </c>
      <c r="B22" s="86"/>
      <c r="C22" s="86"/>
      <c r="D22" s="86"/>
    </row>
    <row r="23" spans="1:4" ht="27.75" customHeight="1" x14ac:dyDescent="0.25">
      <c r="A23" s="59" t="s">
        <v>472</v>
      </c>
      <c r="B23" s="110"/>
      <c r="C23" s="110"/>
      <c r="D23" s="110"/>
    </row>
    <row r="24" spans="1:4" ht="27.75" customHeight="1" x14ac:dyDescent="0.25">
      <c r="A24" s="59" t="s">
        <v>473</v>
      </c>
      <c r="B24" s="110"/>
      <c r="C24" s="110"/>
      <c r="D24" s="110"/>
    </row>
    <row r="25" spans="1:4" ht="7.5" customHeight="1" x14ac:dyDescent="0.25"/>
    <row r="26" spans="1:4" ht="21.75" customHeight="1" x14ac:dyDescent="0.25">
      <c r="A26" s="86" t="s">
        <v>474</v>
      </c>
      <c r="B26" s="86"/>
      <c r="C26" s="86"/>
      <c r="D26" s="86"/>
    </row>
    <row r="27" spans="1:4" ht="27.75" customHeight="1" x14ac:dyDescent="0.25">
      <c r="A27" s="59" t="s">
        <v>475</v>
      </c>
      <c r="B27" s="110"/>
      <c r="C27" s="110"/>
      <c r="D27" s="110"/>
    </row>
    <row r="28" spans="1:4" ht="27.75" customHeight="1" x14ac:dyDescent="0.25">
      <c r="A28" s="59" t="s">
        <v>476</v>
      </c>
      <c r="B28" s="110"/>
      <c r="C28" s="110"/>
      <c r="D28" s="110"/>
    </row>
    <row r="29" spans="1:4" ht="27.75" customHeight="1" x14ac:dyDescent="0.25">
      <c r="A29" s="59" t="s">
        <v>477</v>
      </c>
      <c r="B29" s="110"/>
      <c r="C29" s="110"/>
      <c r="D29" s="110"/>
    </row>
  </sheetData>
  <mergeCells count="23">
    <mergeCell ref="B27:D27"/>
    <mergeCell ref="B28:D28"/>
    <mergeCell ref="B29:D29"/>
    <mergeCell ref="B20:D20"/>
    <mergeCell ref="A22:D22"/>
    <mergeCell ref="B23:D23"/>
    <mergeCell ref="B24:D24"/>
    <mergeCell ref="A26:D26"/>
    <mergeCell ref="B14:D14"/>
    <mergeCell ref="B15:D15"/>
    <mergeCell ref="A17:D17"/>
    <mergeCell ref="B18:D18"/>
    <mergeCell ref="B19:D19"/>
    <mergeCell ref="B8:D8"/>
    <mergeCell ref="A10:D10"/>
    <mergeCell ref="B11:D11"/>
    <mergeCell ref="B12:D12"/>
    <mergeCell ref="B13:D13"/>
    <mergeCell ref="A1:D1"/>
    <mergeCell ref="A4:D4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 Primeiro</vt:lpstr>
      <vt:lpstr>Dicionário</vt:lpstr>
      <vt:lpstr>Base_IFdata</vt:lpstr>
      <vt:lpstr>Exemplos_Graficos</vt:lpstr>
      <vt:lpstr>Exerc_Graficos</vt:lpstr>
      <vt:lpstr>Exerc.</vt:lpstr>
      <vt:lpstr>Exerc_Intermediário</vt:lpstr>
      <vt:lpstr>Template_Análise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Allan Prete</cp:lastModifiedBy>
  <cp:revision>1</cp:revision>
  <dcterms:created xsi:type="dcterms:W3CDTF">2026-03-25T19:58:35Z</dcterms:created>
  <dcterms:modified xsi:type="dcterms:W3CDTF">2026-10-14T19:38:53Z</dcterms:modified>
  <dc:language>en-US</dc:language>
</cp:coreProperties>
</file>